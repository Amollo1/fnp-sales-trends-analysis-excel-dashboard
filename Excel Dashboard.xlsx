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C\Desktop\Excel_Project\"/>
    </mc:Choice>
  </mc:AlternateContent>
  <xr:revisionPtr revIDLastSave="0" documentId="13_ncr:1_{821FE1A5-7C77-4005-BC38-9E1A33E1D318}" xr6:coauthVersionLast="47" xr6:coauthVersionMax="47" xr10:uidLastSave="{00000000-0000-0000-0000-000000000000}"/>
  <bookViews>
    <workbookView xWindow="-110" yWindow="-110" windowWidth="19420" windowHeight="11020" firstSheet="2" activeTab="5" xr2:uid="{60DDD8F7-210C-43C9-B85A-B14FDBED7E89}"/>
  </bookViews>
  <sheets>
    <sheet name="FNP Data" sheetId="2" state="hidden" r:id="rId1"/>
    <sheet name="Customers" sheetId="3" r:id="rId2"/>
    <sheet name="Orders" sheetId="4" r:id="rId3"/>
    <sheet name="Products" sheetId="5" r:id="rId4"/>
    <sheet name="Calculations" sheetId="1" r:id="rId5"/>
    <sheet name="Dashboard" sheetId="6" r:id="rId6"/>
  </sheets>
  <definedNames>
    <definedName name="ExternalData_1" localSheetId="0" hidden="1">'FNP 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61" r:id="rId8"/>
    <pivotCache cacheId="64" r:id="rId9"/>
    <pivotCache cacheId="67" r:id="rId10"/>
    <pivotCache cacheId="70" r:id="rId11"/>
    <pivotCache cacheId="73" r:id="rId12"/>
    <pivotCache cacheId="76" r:id="rId13"/>
    <pivotCache cacheId="79" r:id="rId14"/>
    <pivotCache cacheId="82"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_d737881c-18ec-463e-9a1c-e19b6aa99141" name="FNP Data" connection="Query - FNP Data"/>
          <x15:modelTable id="Customers_11fd9980-5a51-45c7-8907-7e132f89b478" name="Customers" connection="Query - Customers"/>
          <x15:modelTable id="Orders_654334ba-723f-4c35-a3dc-5b7da00fc2e2" name="Orders" connection="Query - Orders"/>
          <x15:modelTable id="Products_37a3affc-2d9a-42ba-8559-b6c92f6bdab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50C3D0-E978-4F41-B8E3-58DBD97240D3}" keepAlive="1" name="ModelConnection_ExternalData_1" description="Data Model" type="5" refreshedVersion="8" minRefreshableVersion="5" saveData="1">
    <dbPr connection="Data Model Connection" command="FNP Data" commandType="3"/>
    <extLst>
      <ext xmlns:x15="http://schemas.microsoft.com/office/spreadsheetml/2010/11/main" uri="{DE250136-89BD-433C-8126-D09CA5730AF9}">
        <x15:connection id="" model="1"/>
      </ext>
    </extLst>
  </connection>
  <connection id="2" xr16:uid="{A1674470-245F-4E5A-89BE-C08A8F07F3A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9923A16-BB52-4B54-86C6-50A5ACADF5D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8BA2363-B8AA-4AC9-8FCC-6955E23D6F1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9F7D1CC-4958-4223-8763-42B10E0246D8}" name="Query - Customers" description="Connection to the 'Customers' query in the workbook." type="100" refreshedVersion="8" minRefreshableVersion="5">
    <extLst>
      <ext xmlns:x15="http://schemas.microsoft.com/office/spreadsheetml/2010/11/main" uri="{DE250136-89BD-433C-8126-D09CA5730AF9}">
        <x15:connection id="eef502ff-cb4f-4e9e-b574-2f249e36ea6e"/>
      </ext>
    </extLst>
  </connection>
  <connection id="6" xr16:uid="{06C45AF5-97E8-4C77-91A5-2E9D8A185E0A}" name="Query - FNP Data" description="Connection to the 'FNP Data' query in the workbook." type="100" refreshedVersion="8" minRefreshableVersion="5">
    <extLst>
      <ext xmlns:x15="http://schemas.microsoft.com/office/spreadsheetml/2010/11/main" uri="{DE250136-89BD-433C-8126-D09CA5730AF9}">
        <x15:connection id="db6dbd22-9e1b-48cb-b6ee-674d075f4321"/>
      </ext>
    </extLst>
  </connection>
  <connection id="7" xr16:uid="{8484A417-8723-4D5F-9824-A9362E7B6108}" name="Query - Orders" description="Connection to the 'Orders' query in the workbook." type="100" refreshedVersion="8" minRefreshableVersion="5">
    <extLst>
      <ext xmlns:x15="http://schemas.microsoft.com/office/spreadsheetml/2010/11/main" uri="{DE250136-89BD-433C-8126-D09CA5730AF9}">
        <x15:connection id="4039a366-2ae4-482c-b65e-c0ff47e4c8ad"/>
      </ext>
    </extLst>
  </connection>
  <connection id="8" xr16:uid="{10D66296-EBFA-4E58-9E6D-448DDE8D6FA6}" name="Query - Products" description="Connection to the 'Products' query in the workbook." type="100" refreshedVersion="8" minRefreshableVersion="5">
    <extLst>
      <ext xmlns:x15="http://schemas.microsoft.com/office/spreadsheetml/2010/11/main" uri="{DE250136-89BD-433C-8126-D09CA5730AF9}">
        <x15:connection id="19cceb82-ad5a-49f6-acab-0b736166eb35"/>
      </ext>
    </extLst>
  </connection>
  <connection id="9" xr16:uid="{19EB0523-D7F9-4E1F-83F3-C4E75D33FE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<sst xmlns="http://schemas.openxmlformats.org/spreadsheetml/2006/main" count="6021" uniqueCount="949">
  <si>
    <t>Name</t>
  </si>
  <si>
    <t>Extension</t>
  </si>
  <si>
    <t>Date accessed</t>
  </si>
  <si>
    <t>Date modified</t>
  </si>
  <si>
    <t>Date created</t>
  </si>
  <si>
    <t>Folder Path</t>
  </si>
  <si>
    <t>customers.csv</t>
  </si>
  <si>
    <t>.csv</t>
  </si>
  <si>
    <t>C:\Users\PC\Desktop\FNP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</si>
  <si>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</si>
  <si>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</si>
  <si>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</si>
  <si>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</si>
  <si>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</si>
  <si>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</si>
  <si>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</si>
  <si>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</si>
  <si>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</si>
  <si>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</si>
  <si>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</si>
  <si>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</si>
  <si>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</si>
  <si>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</si>
  <si>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</si>
  <si>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</si>
  <si>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</si>
  <si>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</si>
  <si>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</si>
  <si>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</si>
  <si>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</si>
  <si>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</si>
  <si>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</si>
  <si>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</si>
  <si>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</si>
  <si>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</si>
  <si>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</si>
  <si>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</si>
  <si>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</si>
  <si>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</si>
  <si>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</si>
  <si>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</si>
  <si>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</si>
  <si>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</si>
  <si>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</si>
  <si>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</si>
  <si>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</si>
  <si>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</si>
  <si>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</si>
  <si>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</si>
  <si>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</si>
  <si>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</si>
  <si>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</si>
  <si>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</si>
  <si>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</si>
  <si>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</si>
  <si>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</si>
  <si>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</si>
  <si>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</si>
  <si>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</si>
  <si>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</si>
  <si>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</si>
  <si>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</si>
  <si>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</si>
  <si>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</si>
  <si>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</si>
  <si>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</si>
  <si>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</si>
  <si>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</si>
  <si>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</si>
  <si>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</si>
  <si>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</si>
  <si>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</si>
  <si>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</si>
  <si>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</si>
  <si>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</si>
  <si>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</si>
  <si>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</si>
  <si>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</si>
  <si>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</si>
  <si>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</si>
  <si>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</si>
  <si>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</si>
  <si>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</si>
  <si>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</si>
  <si>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</si>
  <si>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</si>
  <si>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</si>
  <si>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</si>
  <si>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</si>
  <si>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</si>
  <si>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</si>
  <si>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</si>
  <si>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</si>
  <si>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</si>
  <si>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</si>
  <si>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</si>
  <si>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</si>
  <si>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</si>
  <si>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</si>
  <si>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</si>
  <si>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</si>
  <si>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</si>
  <si>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</si>
  <si>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</si>
  <si>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</si>
  <si>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</si>
  <si>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</si>
  <si>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</si>
  <si>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</si>
  <si>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</si>
  <si>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</si>
  <si>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</si>
  <si>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</si>
  <si>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</si>
  <si>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</si>
  <si>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</si>
  <si>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</si>
  <si>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</si>
  <si>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</si>
  <si>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</si>
  <si>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</si>
  <si>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</si>
  <si>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</si>
  <si>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</si>
  <si>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</si>
  <si>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</si>
  <si>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</si>
  <si>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</si>
  <si>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</si>
  <si>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</si>
  <si>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</si>
  <si>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</si>
  <si>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</si>
  <si>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</si>
  <si>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</si>
  <si>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</si>
  <si>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</si>
  <si>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</si>
  <si>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</si>
  <si>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</si>
  <si>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</si>
  <si>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</si>
  <si>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</si>
  <si>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</si>
  <si>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</si>
  <si>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</si>
  <si>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</si>
  <si>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</si>
  <si>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</si>
  <si>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</si>
  <si>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</si>
  <si>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</si>
  <si>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</si>
  <si>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</si>
  <si>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</si>
  <si>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</si>
  <si>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</si>
  <si>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</si>
  <si>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</si>
  <si>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</si>
  <si>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</si>
  <si>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</si>
  <si>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</si>
  <si>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</si>
  <si>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</si>
  <si>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</si>
  <si>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</si>
  <si>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</si>
  <si>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</si>
  <si>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</si>
  <si>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</si>
  <si>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</si>
  <si>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</si>
  <si>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</si>
  <si>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</si>
  <si>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</si>
  <si>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</si>
  <si>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</si>
  <si>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</si>
  <si>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</si>
  <si>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</si>
  <si>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</si>
  <si>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</si>
  <si>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</si>
  <si>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</si>
  <si>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</si>
  <si>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</si>
  <si>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</si>
  <si>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</si>
  <si>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</si>
  <si>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</si>
  <si>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</si>
  <si>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</si>
  <si>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</si>
  <si>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</si>
  <si>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</si>
  <si>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</si>
  <si>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</si>
  <si>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</si>
  <si>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</si>
  <si>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</si>
  <si>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</si>
  <si>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</si>
  <si>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</si>
  <si>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</si>
  <si>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</si>
  <si>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</si>
  <si>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</si>
  <si>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</si>
  <si>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</si>
  <si>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</si>
  <si>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</si>
  <si>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</si>
  <si>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</si>
  <si>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</si>
  <si>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</si>
  <si>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</si>
  <si>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</si>
  <si>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</si>
  <si>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</si>
  <si>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</si>
  <si>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</si>
  <si>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</si>
  <si>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</si>
  <si>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</si>
  <si>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</si>
  <si>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</si>
  <si>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</si>
  <si>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</si>
  <si>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</si>
  <si>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</si>
  <si>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</si>
  <si>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</si>
  <si>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</si>
  <si>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</si>
  <si>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</si>
  <si>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</si>
  <si>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</si>
  <si>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</si>
  <si>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</si>
  <si>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</si>
  <si>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</si>
  <si>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</si>
  <si>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</si>
  <si>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</si>
  <si>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</si>
  <si>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</si>
  <si>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</si>
  <si>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</si>
  <si>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</si>
  <si>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</si>
  <si>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</si>
  <si>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</si>
  <si>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</si>
  <si>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</si>
  <si>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</si>
  <si>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</si>
  <si>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</si>
  <si>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</si>
  <si>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</si>
  <si>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</si>
  <si>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</si>
  <si>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</si>
  <si>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</si>
  <si>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</si>
  <si>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</si>
  <si>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</si>
  <si>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</si>
  <si>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</si>
  <si>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</si>
  <si>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</si>
  <si>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</si>
  <si>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</si>
  <si>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</si>
  <si>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</si>
  <si>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</si>
  <si>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</si>
  <si>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</si>
  <si>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</si>
  <si>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</si>
  <si>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</si>
  <si>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</si>
  <si>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</si>
  <si>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</si>
  <si>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</si>
  <si>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</si>
  <si>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</si>
  <si>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</si>
  <si>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</si>
  <si>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</si>
  <si>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</si>
  <si>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</si>
  <si>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</si>
  <si>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</si>
  <si>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</si>
  <si>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</si>
  <si>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</si>
  <si>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</si>
  <si>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</si>
  <si>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</si>
  <si>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</si>
  <si>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</si>
  <si>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</si>
  <si>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</si>
  <si>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</si>
  <si>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</si>
  <si>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</si>
  <si>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</si>
  <si>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</si>
  <si>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</si>
  <si>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</si>
  <si>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</si>
  <si>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</si>
  <si>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</si>
  <si>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</si>
  <si>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</si>
  <si>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</si>
  <si>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</si>
  <si>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</si>
  <si>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</si>
  <si>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</si>
  <si>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</si>
  <si>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</si>
  <si>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</si>
  <si>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</si>
  <si>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</si>
  <si>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</si>
  <si>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</si>
  <si>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</si>
  <si>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</si>
  <si>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</si>
  <si>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</si>
  <si>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</si>
  <si>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</si>
  <si>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</si>
  <si>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</si>
  <si>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</si>
  <si>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</si>
  <si>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</si>
  <si>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</si>
  <si>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</si>
  <si>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</si>
  <si>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</si>
  <si>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</si>
  <si>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</si>
  <si>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</si>
  <si>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</si>
  <si>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</si>
  <si>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</si>
  <si>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</si>
  <si>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</si>
  <si>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</si>
  <si>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</si>
  <si>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</si>
  <si>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</si>
  <si>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</si>
  <si>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</si>
  <si>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</si>
  <si>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</si>
  <si>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</si>
  <si>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</si>
  <si>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</si>
  <si>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</si>
  <si>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</si>
  <si>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</si>
  <si>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</si>
  <si>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</si>
  <si>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</si>
  <si>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</si>
  <si>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</si>
  <si>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</si>
  <si>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</si>
  <si>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</si>
  <si>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</si>
  <si>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</si>
  <si>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</si>
  <si>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</si>
  <si>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</si>
  <si>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</si>
  <si>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</si>
  <si>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</si>
  <si>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</si>
  <si>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</si>
  <si>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</si>
  <si>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</si>
  <si>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</si>
  <si>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</si>
  <si>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</si>
  <si>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</si>
  <si>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</si>
  <si>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</si>
  <si>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</si>
  <si>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</si>
  <si>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</si>
  <si>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</si>
  <si>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</si>
  <si>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</si>
  <si>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</si>
  <si>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</si>
  <si>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</si>
  <si>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</si>
  <si>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</si>
  <si>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</si>
  <si>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</si>
  <si>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</si>
  <si>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</si>
  <si>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</si>
  <si>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</si>
  <si>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</si>
  <si>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</si>
  <si>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</si>
  <si>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</si>
  <si>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</si>
  <si>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</si>
  <si>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</si>
  <si>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</si>
  <si>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</si>
  <si>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</si>
  <si>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</si>
  <si>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</si>
  <si>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</si>
  <si>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</si>
  <si>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</si>
  <si>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</si>
  <si>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</si>
  <si>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</si>
  <si>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</si>
  <si>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</si>
  <si>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</si>
  <si>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</si>
  <si>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</si>
  <si>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</si>
  <si>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</si>
  <si>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</si>
  <si>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</si>
  <si>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</si>
  <si>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</si>
  <si>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</si>
  <si>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</si>
  <si>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</si>
  <si>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</si>
  <si>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</si>
  <si>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</si>
  <si>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</si>
  <si>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</si>
  <si>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</si>
  <si>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</si>
  <si>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</si>
  <si>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</si>
  <si>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</si>
  <si>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</si>
  <si>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</si>
  <si>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</si>
  <si>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</si>
  <si>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</si>
  <si>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</si>
  <si>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</si>
  <si>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</si>
  <si>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</si>
  <si>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</si>
  <si>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</si>
  <si>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</si>
  <si>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</si>
  <si>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</si>
  <si>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</si>
  <si>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</si>
  <si>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</si>
  <si>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</si>
  <si>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</si>
  <si>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</si>
  <si>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</si>
  <si>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</si>
  <si>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</si>
  <si>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</si>
  <si>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</si>
  <si>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</si>
  <si>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</si>
  <si>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</si>
  <si>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</si>
  <si>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</si>
  <si>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</si>
  <si>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</si>
  <si>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</si>
  <si>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</si>
  <si>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</si>
  <si>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</si>
  <si>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</si>
  <si>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</si>
  <si>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</si>
  <si>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</si>
  <si>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</si>
  <si>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</si>
  <si>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</si>
  <si>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</si>
  <si>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</si>
  <si>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</si>
  <si>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</si>
  <si>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</si>
  <si>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</si>
  <si>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</si>
  <si>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</si>
  <si>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</si>
  <si>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</si>
  <si>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</si>
  <si>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</si>
  <si>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</si>
  <si>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</si>
  <si>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</si>
  <si>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</si>
  <si>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</si>
  <si>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</si>
  <si>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</si>
  <si>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</si>
  <si>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</si>
  <si>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</si>
  <si>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</si>
  <si>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</si>
  <si>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</si>
  <si>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</si>
  <si>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</si>
  <si>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</si>
  <si>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</si>
  <si>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</si>
  <si>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</si>
  <si>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</si>
  <si>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</si>
  <si>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</si>
  <si>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</si>
  <si>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</si>
  <si>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</si>
  <si>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</si>
  <si>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</si>
  <si>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</si>
  <si>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</si>
  <si>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</si>
  <si>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</si>
  <si>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</si>
  <si>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</si>
  <si>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</si>
  <si>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</si>
  <si>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</si>
  <si>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</si>
  <si>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</si>
  <si>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</si>
  <si>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</si>
  <si>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</si>
  <si>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</si>
  <si>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</si>
  <si>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</si>
  <si>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</si>
  <si>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</si>
  <si>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</si>
  <si>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</si>
  <si>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</si>
  <si>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</si>
  <si>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</si>
  <si>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</si>
  <si>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</si>
  <si>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</si>
  <si>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</si>
  <si>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</si>
  <si>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</si>
  <si>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</si>
  <si>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</si>
  <si>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</si>
  <si>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</si>
  <si>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</si>
  <si>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</si>
  <si>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</si>
  <si>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</si>
  <si>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</si>
  <si>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</si>
  <si>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</si>
  <si>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</si>
  <si>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</si>
  <si>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</si>
  <si>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</si>
  <si>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</si>
  <si>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</si>
  <si>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</si>
  <si>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</si>
  <si>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</si>
  <si>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</si>
  <si>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</si>
  <si>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</si>
  <si>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</si>
  <si>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</si>
  <si>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</si>
  <si>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</si>
  <si>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</si>
  <si>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</si>
  <si>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</si>
  <si>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</si>
  <si>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</si>
  <si>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</si>
  <si>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</si>
  <si>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</si>
  <si>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</si>
  <si>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</si>
  <si>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</si>
  <si>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</si>
  <si>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</si>
  <si>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</si>
  <si>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</si>
  <si>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</si>
  <si>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</si>
  <si>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</si>
  <si>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</si>
  <si>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</si>
  <si>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</si>
  <si>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</si>
  <si>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</si>
  <si>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</si>
  <si>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</si>
  <si>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</si>
  <si>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</si>
  <si>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Delivery_Oder_Diff_Time</t>
  </si>
  <si>
    <t>Hour (Dlivery Time)</t>
  </si>
  <si>
    <t>Products.Price (KSHs)</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</si>
  <si>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</si>
  <si>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</si>
  <si>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</si>
  <si>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</si>
  <si>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</si>
  <si>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</si>
  <si>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</si>
  <si>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</si>
  <si>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</si>
  <si>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</si>
  <si>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</si>
  <si>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</si>
  <si>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</si>
  <si>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</si>
  <si>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</si>
  <si>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</si>
  <si>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</si>
  <si>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</si>
  <si>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</si>
  <si>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</si>
  <si>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</si>
  <si>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</si>
  <si>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</si>
  <si>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</si>
  <si>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</si>
  <si>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</si>
  <si>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</si>
  <si>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</si>
  <si>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</si>
  <si>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</si>
  <si>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</si>
  <si>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</si>
  <si>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</si>
  <si>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</si>
  <si>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</si>
  <si>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</si>
  <si>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</si>
  <si>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</si>
  <si>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</si>
  <si>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</si>
  <si>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</si>
  <si>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</si>
  <si>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</si>
  <si>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</si>
  <si>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</si>
  <si>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</si>
  <si>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</si>
  <si>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</si>
  <si>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</si>
  <si>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</si>
  <si>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</si>
  <si>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</si>
  <si>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</si>
  <si>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</si>
  <si>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</si>
  <si>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</si>
  <si>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</si>
  <si>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</si>
  <si>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</si>
  <si>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</si>
  <si>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</si>
  <si>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</si>
  <si>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</si>
  <si>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</si>
  <si>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</si>
  <si>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</si>
  <si>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</si>
  <si>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</si>
  <si>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</si>
  <si>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</si>
  <si>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</si>
  <si>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</si>
  <si>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</si>
  <si>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</si>
  <si>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</si>
  <si>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</si>
  <si>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</si>
  <si>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</si>
  <si>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</si>
  <si>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</si>
  <si>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</si>
  <si>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</si>
  <si>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</si>
  <si>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</si>
  <si>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</si>
  <si>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</si>
  <si>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</si>
  <si>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</si>
  <si>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</si>
  <si>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</si>
  <si>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</si>
  <si>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</si>
  <si>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</si>
  <si>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</si>
  <si>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</si>
  <si>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</si>
  <si>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</si>
  <si>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</si>
  <si>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</si>
  <si>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</si>
  <si>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</si>
  <si>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</si>
  <si>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</si>
  <si>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</si>
  <si>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</si>
  <si>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</si>
  <si>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</si>
  <si>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</si>
  <si>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</si>
  <si>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</si>
  <si>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</si>
  <si>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</si>
  <si>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</si>
  <si>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</si>
  <si>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</si>
  <si>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</si>
  <si>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</si>
  <si>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</si>
  <si>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</si>
  <si>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</si>
  <si>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</si>
  <si>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</si>
  <si>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</si>
  <si>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</si>
  <si>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</si>
  <si>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</si>
  <si>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</si>
  <si>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</si>
  <si>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</si>
  <si>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</si>
  <si>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</si>
  <si>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</si>
  <si>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</si>
  <si>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</si>
  <si>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</si>
  <si>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</si>
  <si>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</si>
  <si>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</si>
  <si>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</si>
  <si>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</si>
  <si>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</si>
  <si>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</si>
  <si>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</si>
  <si>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</si>
  <si>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</si>
  <si>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</si>
  <si>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</si>
  <si>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</si>
  <si>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</si>
  <si>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</si>
  <si>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</si>
  <si>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</si>
  <si>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</si>
  <si>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</si>
  <si>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</si>
  <si>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</si>
  <si>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</si>
  <si>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</si>
  <si>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</si>
  <si>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</si>
  <si>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</si>
  <si>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</si>
  <si>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</si>
  <si>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</si>
  <si>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</si>
  <si>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</si>
  <si>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</si>
  <si>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</si>
  <si>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</si>
  <si>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</si>
  <si>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</si>
  <si>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</si>
  <si>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</si>
  <si>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</si>
  <si>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</si>
  <si>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</si>
  <si>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</si>
  <si>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</si>
  <si>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</si>
  <si>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</si>
  <si>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</si>
  <si>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</si>
  <si>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</si>
  <si>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</si>
  <si>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</si>
  <si>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</si>
  <si>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</si>
  <si>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</si>
  <si>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</si>
  <si>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</si>
  <si>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</si>
  <si>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</si>
  <si>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</si>
  <si>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</si>
  <si>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</si>
  <si>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</si>
  <si>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</si>
  <si>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</si>
  <si>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</si>
  <si>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</si>
  <si>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</si>
  <si>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</si>
  <si>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</si>
  <si>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</si>
  <si>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</si>
  <si>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</si>
  <si>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</si>
  <si>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</si>
  <si>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</si>
  <si>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</si>
  <si>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</si>
  <si>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</si>
  <si>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</si>
  <si>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</si>
  <si>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</si>
  <si>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</si>
  <si>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</si>
  <si>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</si>
  <si>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</si>
  <si>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</si>
  <si>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</si>
  <si>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</si>
  <si>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</si>
  <si>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</si>
  <si>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</si>
  <si>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</si>
  <si>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</si>
  <si>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</si>
  <si>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</si>
  <si>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</si>
  <si>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</si>
  <si>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</si>
  <si>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</si>
  <si>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</si>
  <si>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</si>
  <si>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</si>
  <si>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</si>
  <si>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</si>
  <si>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</si>
  <si>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(KSHs)</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</si>
  <si>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</si>
  <si>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</si>
  <si>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</si>
  <si>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</si>
  <si>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</si>
  <si>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</si>
  <si>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</si>
  <si>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</si>
  <si>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</si>
  <si>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</si>
  <si>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</si>
  <si>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</si>
  <si>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</si>
  <si>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</si>
  <si>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</si>
  <si>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</si>
  <si>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</si>
  <si>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</si>
  <si>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</si>
  <si>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</si>
  <si>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</si>
  <si>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</si>
  <si>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</si>
  <si>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</si>
  <si>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</si>
  <si>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</si>
  <si>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</si>
  <si>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</si>
  <si>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</si>
  <si>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</si>
  <si>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</si>
  <si>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</si>
  <si>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</si>
  <si>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</si>
  <si>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</si>
  <si>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</si>
  <si>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</si>
  <si>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</si>
  <si>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</si>
  <si>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</si>
  <si>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</si>
  <si>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</si>
  <si>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</si>
  <si>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</si>
  <si>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</si>
  <si>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</si>
  <si>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</si>
  <si>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</si>
  <si>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</si>
  <si>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</si>
  <si>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</si>
  <si>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</si>
  <si>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</si>
  <si>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</si>
  <si>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</si>
  <si>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</si>
  <si>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</si>
  <si>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</si>
  <si>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</si>
  <si>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</si>
  <si>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</si>
  <si>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</si>
  <si>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</si>
  <si>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</si>
  <si>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</si>
  <si>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</si>
  <si>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</si>
  <si>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</si>
  <si>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</si>
  <si>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</si>
  <si>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</si>
  <si>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</si>
  <si>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</si>
  <si>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</si>
  <si>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</si>
  <si>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</si>
  <si>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</si>
  <si>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Calculated Column 1</t>
  </si>
  <si>
    <t>Saturday</t>
  </si>
  <si>
    <t>Wednesday</t>
  </si>
  <si>
    <t>Friday</t>
  </si>
  <si>
    <t>Sunday</t>
  </si>
  <si>
    <t>Monday</t>
  </si>
  <si>
    <t>Tuesday</t>
  </si>
  <si>
    <t>Thursday</t>
  </si>
  <si>
    <t>Sum of Revenue</t>
  </si>
  <si>
    <t>Average of Revenue</t>
  </si>
  <si>
    <t>Average of Delivery_Oder_Diff_Time</t>
  </si>
  <si>
    <t>Count of Order_ID</t>
  </si>
  <si>
    <t>Sum of Price (KSHs)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</si>
</sst>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5" formatCode="_-[$Ksh-441]* #,##0.00_-;\-[$Ksh-441]* #,##0.00_-;_-[$Ksh-441]* &quot;-&quot;??_-;_-@_-"/>
  </numFmts>
  <fonts count="3" x14ac:knownFonts="1">
    <font>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D9DEDB"/>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1" applyNumberFormat="1" applyFon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cellXfs>
  <cellStyles count="2">
    <cellStyle name="Currency" xfId="1" builtinId="4"/>
    <cellStyle name="Normal" xfId="0" builtinId="0"/>
  </cellStyles>
  <dxfs count="63">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165" formatCode="_-[$Ksh-441]* #,##0.00_-;\-[$Ksh-441]* #,##0.00_-;_-[$Ksh-441]* &quot;-&quot;??_-;_-@_-"/>
    </dxf>
    <dxf>
      <numFmt numFmtId="0" formatCode="General"/>
    </dxf>
    <dxf>
      <numFmt numFmtId="165" formatCode="_-[$Ksh-441]* #,##0.00_-;\-[$Ksh-441]* #,##0.00_-;_-[$Ksh-441]* &quot;-&quot;??_-;_-@_-"/>
    </dxf>
    <dxf>
      <numFmt numFmtId="0" formatCode="General"/>
    </dxf>
    <dxf>
      <numFmt numFmtId="0" formatCode="General"/>
    </dxf>
    <dxf>
      <numFmt numFmtId="165" formatCode="_-[$Ksh-441]* #,##0.00_-;\-[$Ksh-441]* #,##0.00_-;_-[$Ksh-441]* &quot;-&quot;??_-;_-@_-"/>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colors>
    <mruColors>
      <color rgb="FF3FABA2"/>
      <color rgb="FF055155"/>
      <color rgb="FF01161C"/>
      <color rgb="FF000E12"/>
      <color rgb="FFD9DE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Dashboard.xlsx]Calculations!PivotTable10</c:name>
    <c:fmtId val="9"/>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US" sz="1050" b="1" i="0" u="none" strike="noStrike" baseline="0">
                <a:solidFill>
                  <a:schemeClr val="bg1"/>
                </a:solidFill>
              </a:rPr>
              <a:t>Revenue Distribution by Category</a:t>
            </a:r>
            <a:endParaRPr lang="en-US" sz="1050" b="1">
              <a:solidFill>
                <a:schemeClr val="bg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Calculations!$I$16</c:f>
              <c:strCache>
                <c:ptCount val="1"/>
                <c:pt idx="0">
                  <c:v>Total</c:v>
                </c:pt>
              </c:strCache>
            </c:strRef>
          </c:tx>
          <c:spPr>
            <a:solidFill>
              <a:srgbClr val="3FABA2"/>
            </a:solidFill>
            <a:ln>
              <a:noFill/>
            </a:ln>
            <a:effectLst/>
          </c:spPr>
          <c:invertIfNegative val="0"/>
          <c:cat>
            <c:strRef>
              <c:f>Calculations!$H$17:$H$24</c:f>
              <c:strCache>
                <c:ptCount val="7"/>
                <c:pt idx="0">
                  <c:v>All Occasions</c:v>
                </c:pt>
                <c:pt idx="1">
                  <c:v>Anniversary</c:v>
                </c:pt>
                <c:pt idx="2">
                  <c:v>Birthday</c:v>
                </c:pt>
                <c:pt idx="3">
                  <c:v>Diwali</c:v>
                </c:pt>
                <c:pt idx="4">
                  <c:v>Holi</c:v>
                </c:pt>
                <c:pt idx="5">
                  <c:v>Raksha Bandhan</c:v>
                </c:pt>
                <c:pt idx="6">
                  <c:v>Valentine's Day</c:v>
                </c:pt>
              </c:strCache>
            </c:strRef>
          </c:cat>
          <c:val>
            <c:numRef>
              <c:f>Calculations!$I$17:$I$24</c:f>
              <c:numCache>
                <c:formatCode>_-[$Ksh-441]* #,##0.00_-;\-[$Ksh-441]* #,##0.00_-;_-[$Ksh-441]*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C41-4E20-AE12-E79DDBA4EBC3}"/>
            </c:ext>
          </c:extLst>
        </c:ser>
        <c:dLbls>
          <c:showLegendKey val="0"/>
          <c:showVal val="0"/>
          <c:showCatName val="0"/>
          <c:showSerName val="0"/>
          <c:showPercent val="0"/>
          <c:showBubbleSize val="0"/>
        </c:dLbls>
        <c:gapWidth val="219"/>
        <c:overlap val="-27"/>
        <c:axId val="447402336"/>
        <c:axId val="447403776"/>
      </c:barChart>
      <c:catAx>
        <c:axId val="447402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7403776"/>
        <c:crosses val="autoZero"/>
        <c:auto val="1"/>
        <c:lblAlgn val="ctr"/>
        <c:lblOffset val="100"/>
        <c:noMultiLvlLbl val="0"/>
      </c:catAx>
      <c:valAx>
        <c:axId val="447403776"/>
        <c:scaling>
          <c:orientation val="minMax"/>
        </c:scaling>
        <c:delete val="0"/>
        <c:axPos val="l"/>
        <c:majorGridlines>
          <c:spPr>
            <a:ln w="9525" cap="flat" cmpd="sng" algn="ctr">
              <a:solidFill>
                <a:srgbClr val="055155">
                  <a:alpha val="80000"/>
                </a:srgbClr>
              </a:solidFill>
              <a:round/>
            </a:ln>
            <a:effectLst/>
          </c:spPr>
        </c:majorGridlines>
        <c:numFmt formatCode="_-[$Ksh-441]* #,##0.00_-;\-[$Ksh-441]* #,##0.00_-;_-[$Ksh-441]*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740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Dashboard.xlsx]Calculations!PivotTable4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3FAB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FAB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FAB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Calculations!$C$2</c:f>
              <c:strCache>
                <c:ptCount val="1"/>
                <c:pt idx="0">
                  <c:v>Total</c:v>
                </c:pt>
              </c:strCache>
            </c:strRef>
          </c:tx>
          <c:spPr>
            <a:ln w="28575" cap="rnd">
              <a:solidFill>
                <a:srgbClr val="3FABA2"/>
              </a:solidFill>
              <a:round/>
            </a:ln>
            <a:effectLst/>
          </c:spPr>
          <c:marker>
            <c:symbol val="none"/>
          </c:marker>
          <c:cat>
            <c:strRef>
              <c:f>Calculations!$B$3:$B$15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Calculations!$C$3:$C$15</c:f>
              <c:numCache>
                <c:formatCode>_-[$Ksh-441]* #,##0.00_-;\-[$Ksh-441]* #,##0.00_-;_-[$Ksh-441]* "-"??_-;_-@_-</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1"/>
          <c:extLst>
            <c:ext xmlns:c16="http://schemas.microsoft.com/office/drawing/2014/chart" uri="{C3380CC4-5D6E-409C-BE32-E72D297353CC}">
              <c16:uniqueId val="{00000000-709C-4E1E-94C2-D6929EAD545C}"/>
            </c:ext>
          </c:extLst>
        </c:ser>
        <c:dLbls>
          <c:showLegendKey val="0"/>
          <c:showVal val="0"/>
          <c:showCatName val="0"/>
          <c:showSerName val="0"/>
          <c:showPercent val="0"/>
          <c:showBubbleSize val="0"/>
        </c:dLbls>
        <c:smooth val="0"/>
        <c:axId val="659778640"/>
        <c:axId val="659779120"/>
      </c:lineChart>
      <c:catAx>
        <c:axId val="6597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9779120"/>
        <c:crosses val="autoZero"/>
        <c:auto val="1"/>
        <c:lblAlgn val="ctr"/>
        <c:lblOffset val="100"/>
        <c:noMultiLvlLbl val="0"/>
      </c:catAx>
      <c:valAx>
        <c:axId val="659779120"/>
        <c:scaling>
          <c:orientation val="minMax"/>
        </c:scaling>
        <c:delete val="0"/>
        <c:axPos val="l"/>
        <c:majorGridlines>
          <c:spPr>
            <a:ln w="9525" cap="flat" cmpd="sng" algn="ctr">
              <a:solidFill>
                <a:srgbClr val="3FABA2">
                  <a:alpha val="43000"/>
                </a:srgbClr>
              </a:solidFill>
              <a:round/>
            </a:ln>
            <a:effectLst/>
          </c:spPr>
        </c:majorGridlines>
        <c:numFmt formatCode="_-[$Ksh-441]* #,##0.00_-;\-[$Ksh-441]* #,##0.00_-;_-[$Ksh-44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977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Dashboard.xlsx]Calculations!PivotTable6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solidFill>
              </a:rPr>
              <a:t>Renue by Gift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Calculations!$F$6</c:f>
              <c:strCache>
                <c:ptCount val="1"/>
                <c:pt idx="0">
                  <c:v>Total</c:v>
                </c:pt>
              </c:strCache>
            </c:strRef>
          </c:tx>
          <c:spPr>
            <a:solidFill>
              <a:srgbClr val="3FABA2"/>
            </a:solidFill>
            <a:ln>
              <a:noFill/>
            </a:ln>
            <a:effectLst/>
          </c:spPr>
          <c:invertIfNegative val="0"/>
          <c:cat>
            <c:strRef>
              <c:f>Calculations!$E$7:$E$12</c:f>
              <c:strCache>
                <c:ptCount val="5"/>
                <c:pt idx="0">
                  <c:v>Deserunt Box</c:v>
                </c:pt>
                <c:pt idx="1">
                  <c:v>Dolores Gift</c:v>
                </c:pt>
                <c:pt idx="2">
                  <c:v>Harum Pack</c:v>
                </c:pt>
                <c:pt idx="3">
                  <c:v>Magnam Set</c:v>
                </c:pt>
                <c:pt idx="4">
                  <c:v>Quia Gift</c:v>
                </c:pt>
              </c:strCache>
            </c:strRef>
          </c:cat>
          <c:val>
            <c:numRef>
              <c:f>Calculations!$F$7:$F$12</c:f>
              <c:numCache>
                <c:formatCode>_-[$Ksh-441]* #,##0.00_-;\-[$Ksh-441]* #,##0.00_-;_-[$Ksh-441]* "-"??_-;_-@_-</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E13-4F64-BE4F-893717AC0EA0}"/>
            </c:ext>
          </c:extLst>
        </c:ser>
        <c:dLbls>
          <c:showLegendKey val="0"/>
          <c:showVal val="0"/>
          <c:showCatName val="0"/>
          <c:showSerName val="0"/>
          <c:showPercent val="0"/>
          <c:showBubbleSize val="0"/>
        </c:dLbls>
        <c:gapWidth val="219"/>
        <c:overlap val="-27"/>
        <c:axId val="1325795888"/>
        <c:axId val="1325805488"/>
      </c:barChart>
      <c:catAx>
        <c:axId val="13257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5805488"/>
        <c:crosses val="autoZero"/>
        <c:auto val="1"/>
        <c:lblAlgn val="ctr"/>
        <c:lblOffset val="100"/>
        <c:noMultiLvlLbl val="0"/>
      </c:catAx>
      <c:valAx>
        <c:axId val="1325805488"/>
        <c:scaling>
          <c:orientation val="minMax"/>
        </c:scaling>
        <c:delete val="0"/>
        <c:axPos val="l"/>
        <c:majorGridlines>
          <c:spPr>
            <a:ln w="9525" cap="flat" cmpd="sng" algn="ctr">
              <a:solidFill>
                <a:srgbClr val="055155">
                  <a:alpha val="99000"/>
                </a:srgbClr>
              </a:solidFill>
              <a:round/>
            </a:ln>
            <a:effectLst/>
          </c:spPr>
        </c:majorGridlines>
        <c:numFmt formatCode="_-[$Ksh-441]* #,##0.00_-;\-[$Ksh-441]* #,##0.00_-;_-[$Ksh-44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579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Dashboard.xlsx]Calculations!PivotTable8</c:name>
    <c:fmtId val="2"/>
  </c:pivotSource>
  <c:chart>
    <c:autoTitleDeleted val="1"/>
    <c:pivotFmts>
      <c:pivotFmt>
        <c:idx val="0"/>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7658809613327"/>
          <c:y val="0.17242116991446868"/>
          <c:w val="0.77089971608687013"/>
          <c:h val="0.40951549607145266"/>
        </c:manualLayout>
      </c:layout>
      <c:barChart>
        <c:barDir val="col"/>
        <c:grouping val="clustered"/>
        <c:varyColors val="0"/>
        <c:ser>
          <c:idx val="0"/>
          <c:order val="0"/>
          <c:tx>
            <c:strRef>
              <c:f>Calculations!$C$18</c:f>
              <c:strCache>
                <c:ptCount val="1"/>
                <c:pt idx="0">
                  <c:v>Total</c:v>
                </c:pt>
              </c:strCache>
            </c:strRef>
          </c:tx>
          <c:spPr>
            <a:solidFill>
              <a:srgbClr val="3FABA2"/>
            </a:solidFill>
            <a:ln>
              <a:noFill/>
            </a:ln>
            <a:effectLst/>
          </c:spPr>
          <c:invertIfNegative val="0"/>
          <c:cat>
            <c:strRef>
              <c:f>Calculations!$B$19:$B$26</c:f>
              <c:strCache>
                <c:ptCount val="7"/>
                <c:pt idx="0">
                  <c:v>Cake</c:v>
                </c:pt>
                <c:pt idx="1">
                  <c:v>Colors</c:v>
                </c:pt>
                <c:pt idx="2">
                  <c:v>Mugs</c:v>
                </c:pt>
                <c:pt idx="3">
                  <c:v>Plants</c:v>
                </c:pt>
                <c:pt idx="4">
                  <c:v>Raksha Bandhan</c:v>
                </c:pt>
                <c:pt idx="5">
                  <c:v>Soft Toys</c:v>
                </c:pt>
                <c:pt idx="6">
                  <c:v>Sweets</c:v>
                </c:pt>
              </c:strCache>
            </c:strRef>
          </c:cat>
          <c:val>
            <c:numRef>
              <c:f>Calculations!$C$19:$C$26</c:f>
              <c:numCache>
                <c:formatCode>_-[$Ksh-441]* #,##0.00_-;\-[$Ksh-441]* #,##0.00_-;_-[$Ksh-441]* "-"??_-;_-@_-</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572-45E8-A413-781FEBC8FAD6}"/>
            </c:ext>
          </c:extLst>
        </c:ser>
        <c:dLbls>
          <c:showLegendKey val="0"/>
          <c:showVal val="0"/>
          <c:showCatName val="0"/>
          <c:showSerName val="0"/>
          <c:showPercent val="0"/>
          <c:showBubbleSize val="0"/>
        </c:dLbls>
        <c:gapWidth val="219"/>
        <c:overlap val="-27"/>
        <c:axId val="619019072"/>
        <c:axId val="619021952"/>
      </c:barChart>
      <c:catAx>
        <c:axId val="61901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021952"/>
        <c:crosses val="autoZero"/>
        <c:auto val="1"/>
        <c:lblAlgn val="ctr"/>
        <c:lblOffset val="100"/>
        <c:noMultiLvlLbl val="0"/>
      </c:catAx>
      <c:valAx>
        <c:axId val="619021952"/>
        <c:scaling>
          <c:orientation val="minMax"/>
        </c:scaling>
        <c:delete val="0"/>
        <c:axPos val="l"/>
        <c:majorGridlines>
          <c:spPr>
            <a:ln w="9525" cap="flat" cmpd="sng" algn="ctr">
              <a:solidFill>
                <a:srgbClr val="055155">
                  <a:alpha val="99000"/>
                </a:srgbClr>
              </a:solidFill>
              <a:round/>
            </a:ln>
            <a:effectLst/>
          </c:spPr>
        </c:majorGridlines>
        <c:numFmt formatCode="_-[$Ksh-441]* #,##0.00_-;\-[$Ksh-441]* #,##0.00_-;_-[$Ksh-44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01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Dashboard.xlsx]Calculations!PivotTable9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solidFill>
              </a:rPr>
              <a:t>To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Calculations!$F$16</c:f>
              <c:strCache>
                <c:ptCount val="1"/>
                <c:pt idx="0">
                  <c:v>Total</c:v>
                </c:pt>
              </c:strCache>
            </c:strRef>
          </c:tx>
          <c:spPr>
            <a:solidFill>
              <a:srgbClr val="3FABA2"/>
            </a:solidFill>
            <a:ln>
              <a:noFill/>
            </a:ln>
            <a:effectLst/>
          </c:spPr>
          <c:invertIfNegative val="0"/>
          <c:cat>
            <c:strRef>
              <c:f>Calculations!$E$17:$E$27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Calculations!$F$17:$F$27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1A2-4F16-8E56-52887C1A1FD0}"/>
            </c:ext>
          </c:extLst>
        </c:ser>
        <c:dLbls>
          <c:showLegendKey val="0"/>
          <c:showVal val="0"/>
          <c:showCatName val="0"/>
          <c:showSerName val="0"/>
          <c:showPercent val="0"/>
          <c:showBubbleSize val="0"/>
        </c:dLbls>
        <c:gapWidth val="219"/>
        <c:overlap val="-27"/>
        <c:axId val="1328369968"/>
        <c:axId val="1328371408"/>
      </c:barChart>
      <c:catAx>
        <c:axId val="13283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8371408"/>
        <c:crosses val="autoZero"/>
        <c:auto val="1"/>
        <c:lblAlgn val="ctr"/>
        <c:lblOffset val="100"/>
        <c:noMultiLvlLbl val="0"/>
      </c:catAx>
      <c:valAx>
        <c:axId val="1328371408"/>
        <c:scaling>
          <c:orientation val="minMax"/>
        </c:scaling>
        <c:delete val="0"/>
        <c:axPos val="l"/>
        <c:majorGridlines>
          <c:spPr>
            <a:ln w="9525" cap="flat" cmpd="sng" algn="ctr">
              <a:solidFill>
                <a:srgbClr val="055155">
                  <a:alpha val="99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836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Dashboard.xlsx]Calculations!PivotTable1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solidFill>
              </a:rPr>
              <a:t>Top 5 productd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Calculations!$F$30</c:f>
              <c:strCache>
                <c:ptCount val="1"/>
                <c:pt idx="0">
                  <c:v>Total</c:v>
                </c:pt>
              </c:strCache>
            </c:strRef>
          </c:tx>
          <c:spPr>
            <a:solidFill>
              <a:srgbClr val="3FABA2"/>
            </a:solidFill>
            <a:ln>
              <a:noFill/>
            </a:ln>
            <a:effectLst/>
          </c:spPr>
          <c:invertIfNegative val="0"/>
          <c:cat>
            <c:strRef>
              <c:f>Calculations!$E$31:$E$36</c:f>
              <c:strCache>
                <c:ptCount val="5"/>
                <c:pt idx="0">
                  <c:v>Aut Box</c:v>
                </c:pt>
                <c:pt idx="1">
                  <c:v>Error Gift</c:v>
                </c:pt>
                <c:pt idx="2">
                  <c:v>Magnam Set</c:v>
                </c:pt>
                <c:pt idx="3">
                  <c:v>Provident Pack</c:v>
                </c:pt>
                <c:pt idx="4">
                  <c:v>Quia Gift</c:v>
                </c:pt>
              </c:strCache>
            </c:strRef>
          </c:cat>
          <c:val>
            <c:numRef>
              <c:f>Calculations!$F$31:$F$36</c:f>
              <c:numCache>
                <c:formatCode>_-[$Ksh-441]* #,##0.00_-;\-[$Ksh-441]* #,##0.00_-;_-[$Ksh-441]* "-"??_-;_-@_-</c:formatCode>
                <c:ptCount val="5"/>
                <c:pt idx="0">
                  <c:v>1977</c:v>
                </c:pt>
                <c:pt idx="1">
                  <c:v>2761</c:v>
                </c:pt>
                <c:pt idx="2">
                  <c:v>1935</c:v>
                </c:pt>
                <c:pt idx="3">
                  <c:v>1923</c:v>
                </c:pt>
                <c:pt idx="4">
                  <c:v>2833</c:v>
                </c:pt>
              </c:numCache>
            </c:numRef>
          </c:val>
          <c:extLst>
            <c:ext xmlns:c16="http://schemas.microsoft.com/office/drawing/2014/chart" uri="{C3380CC4-5D6E-409C-BE32-E72D297353CC}">
              <c16:uniqueId val="{00000000-1F12-4959-80EE-674D6DE1CAA7}"/>
            </c:ext>
          </c:extLst>
        </c:ser>
        <c:dLbls>
          <c:showLegendKey val="0"/>
          <c:showVal val="0"/>
          <c:showCatName val="0"/>
          <c:showSerName val="0"/>
          <c:showPercent val="0"/>
          <c:showBubbleSize val="0"/>
        </c:dLbls>
        <c:gapWidth val="219"/>
        <c:overlap val="-27"/>
        <c:axId val="1328383888"/>
        <c:axId val="1328321488"/>
      </c:barChart>
      <c:catAx>
        <c:axId val="13283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8321488"/>
        <c:crosses val="autoZero"/>
        <c:auto val="1"/>
        <c:lblAlgn val="ctr"/>
        <c:lblOffset val="100"/>
        <c:noMultiLvlLbl val="0"/>
      </c:catAx>
      <c:valAx>
        <c:axId val="1328321488"/>
        <c:scaling>
          <c:orientation val="minMax"/>
        </c:scaling>
        <c:delete val="0"/>
        <c:axPos val="l"/>
        <c:majorGridlines>
          <c:spPr>
            <a:ln w="9525" cap="flat" cmpd="sng" algn="ctr">
              <a:solidFill>
                <a:srgbClr val="055155">
                  <a:alpha val="99000"/>
                </a:srgbClr>
              </a:solidFill>
              <a:round/>
            </a:ln>
            <a:effectLst/>
          </c:spPr>
        </c:majorGridlines>
        <c:numFmt formatCode="_-[$Ksh-441]* #,##0.00_-;\-[$Ksh-441]* #,##0.00_-;_-[$Ksh-44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838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486620</xdr:colOff>
      <xdr:row>6</xdr:row>
      <xdr:rowOff>92512</xdr:rowOff>
    </xdr:from>
    <xdr:to>
      <xdr:col>27</xdr:col>
      <xdr:colOff>147491</xdr:colOff>
      <xdr:row>40</xdr:row>
      <xdr:rowOff>68699</xdr:rowOff>
    </xdr:to>
    <xdr:sp macro="" textlink="">
      <xdr:nvSpPr>
        <xdr:cNvPr id="2" name="Rectangle: Rounded Corners 1">
          <a:extLst>
            <a:ext uri="{FF2B5EF4-FFF2-40B4-BE49-F238E27FC236}">
              <a16:creationId xmlns:a16="http://schemas.microsoft.com/office/drawing/2014/main" id="{69BB8257-D7C8-1855-2F6C-85ED6BEA567A}"/>
            </a:ext>
          </a:extLst>
        </xdr:cNvPr>
        <xdr:cNvSpPr/>
      </xdr:nvSpPr>
      <xdr:spPr>
        <a:xfrm>
          <a:off x="4142161" y="1173728"/>
          <a:ext cx="12455262" cy="6103079"/>
        </a:xfrm>
        <a:prstGeom prst="roundRect">
          <a:avLst>
            <a:gd name="adj" fmla="val 2356"/>
          </a:avLst>
        </a:prstGeom>
        <a:solidFill>
          <a:srgbClr val="000E1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1392</xdr:colOff>
      <xdr:row>14</xdr:row>
      <xdr:rowOff>177467</xdr:rowOff>
    </xdr:from>
    <xdr:to>
      <xdr:col>12</xdr:col>
      <xdr:colOff>122091</xdr:colOff>
      <xdr:row>27</xdr:row>
      <xdr:rowOff>29062</xdr:rowOff>
    </xdr:to>
    <xdr:sp macro="" textlink="">
      <xdr:nvSpPr>
        <xdr:cNvPr id="3" name="Rectangle: Rounded Corners 2">
          <a:extLst>
            <a:ext uri="{FF2B5EF4-FFF2-40B4-BE49-F238E27FC236}">
              <a16:creationId xmlns:a16="http://schemas.microsoft.com/office/drawing/2014/main" id="{BF117332-B489-A025-922E-AE75242F294D}"/>
            </a:ext>
          </a:extLst>
        </xdr:cNvPr>
        <xdr:cNvSpPr/>
      </xdr:nvSpPr>
      <xdr:spPr>
        <a:xfrm>
          <a:off x="4266189" y="2700305"/>
          <a:ext cx="3166983" cy="2194230"/>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274595</xdr:colOff>
      <xdr:row>39</xdr:row>
      <xdr:rowOff>120137</xdr:rowOff>
    </xdr:from>
    <xdr:to>
      <xdr:col>21</xdr:col>
      <xdr:colOff>231689</xdr:colOff>
      <xdr:row>42</xdr:row>
      <xdr:rowOff>73992</xdr:rowOff>
    </xdr:to>
    <xdr:sp macro="" textlink="">
      <xdr:nvSpPr>
        <xdr:cNvPr id="32" name="Rectangle: Rounded Corners 31">
          <a:extLst>
            <a:ext uri="{FF2B5EF4-FFF2-40B4-BE49-F238E27FC236}">
              <a16:creationId xmlns:a16="http://schemas.microsoft.com/office/drawing/2014/main" id="{F495F3FA-0A3A-48CC-9C99-C7B64D82899B}"/>
            </a:ext>
          </a:extLst>
        </xdr:cNvPr>
        <xdr:cNvSpPr/>
      </xdr:nvSpPr>
      <xdr:spPr>
        <a:xfrm>
          <a:off x="7585676" y="7148042"/>
          <a:ext cx="5440405" cy="494464"/>
        </a:xfrm>
        <a:prstGeom prst="roundRect">
          <a:avLst>
            <a:gd name="adj" fmla="val 40698"/>
          </a:avLst>
        </a:prstGeom>
        <a:solidFill>
          <a:srgbClr val="01161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460667</xdr:colOff>
      <xdr:row>14</xdr:row>
      <xdr:rowOff>158517</xdr:rowOff>
    </xdr:from>
    <xdr:to>
      <xdr:col>22</xdr:col>
      <xdr:colOff>581367</xdr:colOff>
      <xdr:row>27</xdr:row>
      <xdr:rowOff>1672</xdr:rowOff>
    </xdr:to>
    <xdr:sp macro="" textlink="">
      <xdr:nvSpPr>
        <xdr:cNvPr id="44" name="Rectangle: Rounded Corners 43">
          <a:extLst>
            <a:ext uri="{FF2B5EF4-FFF2-40B4-BE49-F238E27FC236}">
              <a16:creationId xmlns:a16="http://schemas.microsoft.com/office/drawing/2014/main" id="{D1FF22F8-418D-417B-A1D1-85051E2D653B}"/>
            </a:ext>
          </a:extLst>
        </xdr:cNvPr>
        <xdr:cNvSpPr/>
      </xdr:nvSpPr>
      <xdr:spPr>
        <a:xfrm>
          <a:off x="10818032" y="2681355"/>
          <a:ext cx="3166984" cy="2185790"/>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228782</xdr:colOff>
      <xdr:row>14</xdr:row>
      <xdr:rowOff>179885</xdr:rowOff>
    </xdr:from>
    <xdr:to>
      <xdr:col>17</xdr:col>
      <xdr:colOff>354319</xdr:colOff>
      <xdr:row>27</xdr:row>
      <xdr:rowOff>31501</xdr:rowOff>
    </xdr:to>
    <xdr:sp macro="" textlink="">
      <xdr:nvSpPr>
        <xdr:cNvPr id="45" name="Rectangle: Rounded Corners 44">
          <a:extLst>
            <a:ext uri="{FF2B5EF4-FFF2-40B4-BE49-F238E27FC236}">
              <a16:creationId xmlns:a16="http://schemas.microsoft.com/office/drawing/2014/main" id="{0DC6DB3B-BCE9-4BEC-9AF3-F91B5774C5B4}"/>
            </a:ext>
          </a:extLst>
        </xdr:cNvPr>
        <xdr:cNvSpPr/>
      </xdr:nvSpPr>
      <xdr:spPr>
        <a:xfrm>
          <a:off x="7539863" y="2702723"/>
          <a:ext cx="3171821" cy="2194251"/>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9474</xdr:colOff>
      <xdr:row>27</xdr:row>
      <xdr:rowOff>138652</xdr:rowOff>
    </xdr:from>
    <xdr:to>
      <xdr:col>12</xdr:col>
      <xdr:colOff>130173</xdr:colOff>
      <xdr:row>39</xdr:row>
      <xdr:rowOff>152478</xdr:rowOff>
    </xdr:to>
    <xdr:sp macro="" textlink="">
      <xdr:nvSpPr>
        <xdr:cNvPr id="46" name="Rectangle: Rounded Corners 45">
          <a:extLst>
            <a:ext uri="{FF2B5EF4-FFF2-40B4-BE49-F238E27FC236}">
              <a16:creationId xmlns:a16="http://schemas.microsoft.com/office/drawing/2014/main" id="{C71E45E6-B9FC-4418-8DCB-A43B23CB6A6F}"/>
            </a:ext>
          </a:extLst>
        </xdr:cNvPr>
        <xdr:cNvSpPr/>
      </xdr:nvSpPr>
      <xdr:spPr>
        <a:xfrm>
          <a:off x="4274271" y="5004125"/>
          <a:ext cx="3166983" cy="2176258"/>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491349</xdr:colOff>
      <xdr:row>27</xdr:row>
      <xdr:rowOff>119703</xdr:rowOff>
    </xdr:from>
    <xdr:to>
      <xdr:col>23</xdr:col>
      <xdr:colOff>2793</xdr:colOff>
      <xdr:row>39</xdr:row>
      <xdr:rowOff>143062</xdr:rowOff>
    </xdr:to>
    <xdr:sp macro="" textlink="">
      <xdr:nvSpPr>
        <xdr:cNvPr id="47" name="Rectangle: Rounded Corners 46">
          <a:extLst>
            <a:ext uri="{FF2B5EF4-FFF2-40B4-BE49-F238E27FC236}">
              <a16:creationId xmlns:a16="http://schemas.microsoft.com/office/drawing/2014/main" id="{0063B281-86FF-474C-8367-5AF5AFC9D64C}"/>
            </a:ext>
          </a:extLst>
        </xdr:cNvPr>
        <xdr:cNvSpPr/>
      </xdr:nvSpPr>
      <xdr:spPr>
        <a:xfrm>
          <a:off x="10848714" y="4985176"/>
          <a:ext cx="3166984" cy="2185791"/>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245491</xdr:colOff>
      <xdr:row>27</xdr:row>
      <xdr:rowOff>141071</xdr:rowOff>
    </xdr:from>
    <xdr:to>
      <xdr:col>17</xdr:col>
      <xdr:colOff>376374</xdr:colOff>
      <xdr:row>39</xdr:row>
      <xdr:rowOff>154897</xdr:rowOff>
    </xdr:to>
    <xdr:sp macro="" textlink="">
      <xdr:nvSpPr>
        <xdr:cNvPr id="48" name="Rectangle: Rounded Corners 47">
          <a:extLst>
            <a:ext uri="{FF2B5EF4-FFF2-40B4-BE49-F238E27FC236}">
              <a16:creationId xmlns:a16="http://schemas.microsoft.com/office/drawing/2014/main" id="{2B9E763E-110F-45C8-B6AA-BCB0FBEF196F}"/>
            </a:ext>
          </a:extLst>
        </xdr:cNvPr>
        <xdr:cNvSpPr/>
      </xdr:nvSpPr>
      <xdr:spPr>
        <a:xfrm>
          <a:off x="7556572" y="5006544"/>
          <a:ext cx="3177167" cy="2176258"/>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bg1"/>
              </a:solidFill>
            </a:rPr>
            <a:t>Revenue Performance Over Time</a:t>
          </a:r>
          <a:endParaRPr lang="en-US" sz="1100" b="1">
            <a:solidFill>
              <a:schemeClr val="bg1"/>
            </a:solidFill>
          </a:endParaRPr>
        </a:p>
      </xdr:txBody>
    </xdr:sp>
    <xdr:clientData/>
  </xdr:twoCellAnchor>
  <xdr:twoCellAnchor>
    <xdr:from>
      <xdr:col>7</xdr:col>
      <xdr:colOff>25744</xdr:colOff>
      <xdr:row>9</xdr:row>
      <xdr:rowOff>45994</xdr:rowOff>
    </xdr:from>
    <xdr:to>
      <xdr:col>16</xdr:col>
      <xdr:colOff>248851</xdr:colOff>
      <xdr:row>14</xdr:row>
      <xdr:rowOff>58694</xdr:rowOff>
    </xdr:to>
    <xdr:sp macro="" textlink="">
      <xdr:nvSpPr>
        <xdr:cNvPr id="49" name="Rectangle: Rounded Corners 48">
          <a:extLst>
            <a:ext uri="{FF2B5EF4-FFF2-40B4-BE49-F238E27FC236}">
              <a16:creationId xmlns:a16="http://schemas.microsoft.com/office/drawing/2014/main" id="{C5C7C10A-A5F1-4BE8-B8D0-96E72AD9BC55}"/>
            </a:ext>
          </a:extLst>
        </xdr:cNvPr>
        <xdr:cNvSpPr/>
      </xdr:nvSpPr>
      <xdr:spPr>
        <a:xfrm>
          <a:off x="4290541" y="1667818"/>
          <a:ext cx="5706418" cy="913714"/>
        </a:xfrm>
        <a:prstGeom prst="roundRect">
          <a:avLst>
            <a:gd name="adj" fmla="val 6114"/>
          </a:avLst>
        </a:prstGeom>
        <a:solidFill>
          <a:srgbClr val="01161C"/>
        </a:solidFill>
        <a:ln>
          <a:solidFill>
            <a:schemeClr val="accent2">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543372</xdr:colOff>
      <xdr:row>9</xdr:row>
      <xdr:rowOff>54575</xdr:rowOff>
    </xdr:from>
    <xdr:to>
      <xdr:col>22</xdr:col>
      <xdr:colOff>583513</xdr:colOff>
      <xdr:row>14</xdr:row>
      <xdr:rowOff>67275</xdr:rowOff>
    </xdr:to>
    <xdr:sp macro="" textlink="">
      <xdr:nvSpPr>
        <xdr:cNvPr id="54" name="Rectangle: Rounded Corners 53">
          <a:extLst>
            <a:ext uri="{FF2B5EF4-FFF2-40B4-BE49-F238E27FC236}">
              <a16:creationId xmlns:a16="http://schemas.microsoft.com/office/drawing/2014/main" id="{8144F1CF-BE89-41B3-B7C7-D4E57CABEE27}"/>
            </a:ext>
          </a:extLst>
        </xdr:cNvPr>
        <xdr:cNvSpPr/>
      </xdr:nvSpPr>
      <xdr:spPr>
        <a:xfrm>
          <a:off x="10291480" y="1676399"/>
          <a:ext cx="3695682" cy="913714"/>
        </a:xfrm>
        <a:prstGeom prst="roundRect">
          <a:avLst>
            <a:gd name="adj" fmla="val 6114"/>
          </a:avLst>
        </a:prstGeom>
        <a:solidFill>
          <a:srgbClr val="01161C"/>
        </a:solidFill>
        <a:ln>
          <a:solidFill>
            <a:schemeClr val="accent2">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118111</xdr:colOff>
      <xdr:row>26</xdr:row>
      <xdr:rowOff>45994</xdr:rowOff>
    </xdr:from>
    <xdr:to>
      <xdr:col>27</xdr:col>
      <xdr:colOff>6179</xdr:colOff>
      <xdr:row>39</xdr:row>
      <xdr:rowOff>141372</xdr:rowOff>
    </xdr:to>
    <xdr:sp macro="" textlink="">
      <xdr:nvSpPr>
        <xdr:cNvPr id="56" name="Rectangle: Rounded Corners 55">
          <a:extLst>
            <a:ext uri="{FF2B5EF4-FFF2-40B4-BE49-F238E27FC236}">
              <a16:creationId xmlns:a16="http://schemas.microsoft.com/office/drawing/2014/main" id="{C46521C8-EF19-424F-9A8A-C65FBAADB879}"/>
            </a:ext>
          </a:extLst>
        </xdr:cNvPr>
        <xdr:cNvSpPr/>
      </xdr:nvSpPr>
      <xdr:spPr>
        <a:xfrm>
          <a:off x="14131016" y="4731264"/>
          <a:ext cx="2325095" cy="2438013"/>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105411</xdr:colOff>
      <xdr:row>18</xdr:row>
      <xdr:rowOff>45994</xdr:rowOff>
    </xdr:from>
    <xdr:to>
      <xdr:col>26</xdr:col>
      <xdr:colOff>602735</xdr:colOff>
      <xdr:row>25</xdr:row>
      <xdr:rowOff>84094</xdr:rowOff>
    </xdr:to>
    <xdr:sp macro="" textlink="">
      <xdr:nvSpPr>
        <xdr:cNvPr id="57" name="Rectangle: Rounded Corners 56">
          <a:extLst>
            <a:ext uri="{FF2B5EF4-FFF2-40B4-BE49-F238E27FC236}">
              <a16:creationId xmlns:a16="http://schemas.microsoft.com/office/drawing/2014/main" id="{CD97A571-B128-4E5D-96F1-63C9666343CA}"/>
            </a:ext>
          </a:extLst>
        </xdr:cNvPr>
        <xdr:cNvSpPr/>
      </xdr:nvSpPr>
      <xdr:spPr>
        <a:xfrm>
          <a:off x="14118316" y="3289643"/>
          <a:ext cx="2325095" cy="1299519"/>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80011</xdr:colOff>
      <xdr:row>9</xdr:row>
      <xdr:rowOff>33294</xdr:rowOff>
    </xdr:from>
    <xdr:to>
      <xdr:col>26</xdr:col>
      <xdr:colOff>577335</xdr:colOff>
      <xdr:row>17</xdr:row>
      <xdr:rowOff>45994</xdr:rowOff>
    </xdr:to>
    <xdr:sp macro="" textlink="">
      <xdr:nvSpPr>
        <xdr:cNvPr id="59" name="Rectangle: Rounded Corners 58">
          <a:extLst>
            <a:ext uri="{FF2B5EF4-FFF2-40B4-BE49-F238E27FC236}">
              <a16:creationId xmlns:a16="http://schemas.microsoft.com/office/drawing/2014/main" id="{B2865FA4-A214-4E9C-9F35-038C37800C26}"/>
            </a:ext>
          </a:extLst>
        </xdr:cNvPr>
        <xdr:cNvSpPr/>
      </xdr:nvSpPr>
      <xdr:spPr>
        <a:xfrm>
          <a:off x="14092916" y="1655118"/>
          <a:ext cx="2325095" cy="1454322"/>
        </a:xfrm>
        <a:prstGeom prst="roundRect">
          <a:avLst>
            <a:gd name="adj" fmla="val 6114"/>
          </a:avLst>
        </a:prstGeom>
        <a:solidFill>
          <a:srgbClr val="01161C"/>
        </a:solidFill>
        <a:ln>
          <a:solidFill>
            <a:srgbClr val="05515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602181</xdr:colOff>
      <xdr:row>15</xdr:row>
      <xdr:rowOff>10540</xdr:rowOff>
    </xdr:from>
    <xdr:to>
      <xdr:col>12</xdr:col>
      <xdr:colOff>77087</xdr:colOff>
      <xdr:row>27</xdr:row>
      <xdr:rowOff>146774</xdr:rowOff>
    </xdr:to>
    <xdr:graphicFrame macro="">
      <xdr:nvGraphicFramePr>
        <xdr:cNvPr id="60" name="Chart 59">
          <a:extLst>
            <a:ext uri="{FF2B5EF4-FFF2-40B4-BE49-F238E27FC236}">
              <a16:creationId xmlns:a16="http://schemas.microsoft.com/office/drawing/2014/main" id="{F6CE8023-E7BD-4637-A21B-32B6E51BD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9474</xdr:colOff>
      <xdr:row>27</xdr:row>
      <xdr:rowOff>138652</xdr:rowOff>
    </xdr:from>
    <xdr:to>
      <xdr:col>12</xdr:col>
      <xdr:colOff>133179</xdr:colOff>
      <xdr:row>39</xdr:row>
      <xdr:rowOff>149997</xdr:rowOff>
    </xdr:to>
    <xdr:graphicFrame macro="">
      <xdr:nvGraphicFramePr>
        <xdr:cNvPr id="4" name="Chart 3">
          <a:extLst>
            <a:ext uri="{FF2B5EF4-FFF2-40B4-BE49-F238E27FC236}">
              <a16:creationId xmlns:a16="http://schemas.microsoft.com/office/drawing/2014/main" id="{BF557946-E953-46A1-AD90-8905D45CA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228782</xdr:colOff>
      <xdr:row>14</xdr:row>
      <xdr:rowOff>179885</xdr:rowOff>
    </xdr:from>
    <xdr:to>
      <xdr:col>17</xdr:col>
      <xdr:colOff>349078</xdr:colOff>
      <xdr:row>27</xdr:row>
      <xdr:rowOff>45994</xdr:rowOff>
    </xdr:to>
    <xdr:graphicFrame macro="">
      <xdr:nvGraphicFramePr>
        <xdr:cNvPr id="5" name="Chart 4">
          <a:extLst>
            <a:ext uri="{FF2B5EF4-FFF2-40B4-BE49-F238E27FC236}">
              <a16:creationId xmlns:a16="http://schemas.microsoft.com/office/drawing/2014/main" id="{EA9C4D68-16CC-498F-BD30-E69BFBAC4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399879</xdr:colOff>
      <xdr:row>27</xdr:row>
      <xdr:rowOff>162697</xdr:rowOff>
    </xdr:from>
    <xdr:to>
      <xdr:col>26</xdr:col>
      <xdr:colOff>475735</xdr:colOff>
      <xdr:row>38</xdr:row>
      <xdr:rowOff>149996</xdr:rowOff>
    </xdr:to>
    <mc:AlternateContent xmlns:mc="http://schemas.openxmlformats.org/markup-compatibility/2006" xmlns:a14="http://schemas.microsoft.com/office/drawing/2010/main">
      <mc:Choice Requires="a14">
        <xdr:graphicFrame macro="">
          <xdr:nvGraphicFramePr>
            <xdr:cNvPr id="7" name="Occasion">
              <a:extLst>
                <a:ext uri="{FF2B5EF4-FFF2-40B4-BE49-F238E27FC236}">
                  <a16:creationId xmlns:a16="http://schemas.microsoft.com/office/drawing/2014/main" id="{E70CBBDE-A349-4615-B21D-76A0E718726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412784" y="5028170"/>
              <a:ext cx="1903627" cy="1969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245491</xdr:colOff>
      <xdr:row>27</xdr:row>
      <xdr:rowOff>141071</xdr:rowOff>
    </xdr:from>
    <xdr:to>
      <xdr:col>17</xdr:col>
      <xdr:colOff>399878</xdr:colOff>
      <xdr:row>39</xdr:row>
      <xdr:rowOff>122194</xdr:rowOff>
    </xdr:to>
    <xdr:graphicFrame macro="">
      <xdr:nvGraphicFramePr>
        <xdr:cNvPr id="8" name="Chart 7">
          <a:extLst>
            <a:ext uri="{FF2B5EF4-FFF2-40B4-BE49-F238E27FC236}">
              <a16:creationId xmlns:a16="http://schemas.microsoft.com/office/drawing/2014/main" id="{8EC8EF56-E4DC-42C7-A9AE-DD74366DE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460667</xdr:colOff>
      <xdr:row>14</xdr:row>
      <xdr:rowOff>158517</xdr:rowOff>
    </xdr:from>
    <xdr:to>
      <xdr:col>22</xdr:col>
      <xdr:colOff>539235</xdr:colOff>
      <xdr:row>26</xdr:row>
      <xdr:rowOff>175397</xdr:rowOff>
    </xdr:to>
    <xdr:graphicFrame macro="">
      <xdr:nvGraphicFramePr>
        <xdr:cNvPr id="9" name="Chart 8">
          <a:extLst>
            <a:ext uri="{FF2B5EF4-FFF2-40B4-BE49-F238E27FC236}">
              <a16:creationId xmlns:a16="http://schemas.microsoft.com/office/drawing/2014/main" id="{E9F4F8EA-0CBE-4695-B45C-C8695F4A7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491349</xdr:colOff>
      <xdr:row>27</xdr:row>
      <xdr:rowOff>119703</xdr:rowOff>
    </xdr:from>
    <xdr:to>
      <xdr:col>22</xdr:col>
      <xdr:colOff>590035</xdr:colOff>
      <xdr:row>39</xdr:row>
      <xdr:rowOff>134894</xdr:rowOff>
    </xdr:to>
    <xdr:graphicFrame macro="">
      <xdr:nvGraphicFramePr>
        <xdr:cNvPr id="10" name="Chart 9">
          <a:extLst>
            <a:ext uri="{FF2B5EF4-FFF2-40B4-BE49-F238E27FC236}">
              <a16:creationId xmlns:a16="http://schemas.microsoft.com/office/drawing/2014/main" id="{12BCF507-78EE-4786-8DDE-91708B527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386149</xdr:colOff>
      <xdr:row>18</xdr:row>
      <xdr:rowOff>77230</xdr:rowOff>
    </xdr:from>
    <xdr:to>
      <xdr:col>26</xdr:col>
      <xdr:colOff>420473</xdr:colOff>
      <xdr:row>25</xdr:row>
      <xdr:rowOff>60067</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BBBD24BB-C820-4C46-8BAB-A83B7C3A8BD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399054" y="3320879"/>
              <a:ext cx="1862095" cy="124425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411891</xdr:colOff>
      <xdr:row>9</xdr:row>
      <xdr:rowOff>85812</xdr:rowOff>
    </xdr:from>
    <xdr:to>
      <xdr:col>26</xdr:col>
      <xdr:colOff>351823</xdr:colOff>
      <xdr:row>16</xdr:row>
      <xdr:rowOff>163041</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40C59952-1750-4DCE-97E1-601F5D1EFEC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424796" y="1707636"/>
              <a:ext cx="1767703" cy="13386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17162</xdr:colOff>
      <xdr:row>9</xdr:row>
      <xdr:rowOff>171622</xdr:rowOff>
    </xdr:from>
    <xdr:to>
      <xdr:col>22</xdr:col>
      <xdr:colOff>514865</xdr:colOff>
      <xdr:row>13</xdr:row>
      <xdr:rowOff>120135</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78E3C89C-BD96-4A8A-897C-141B1BA345A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374527" y="1793446"/>
              <a:ext cx="3543987" cy="669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60069</xdr:colOff>
      <xdr:row>8</xdr:row>
      <xdr:rowOff>120135</xdr:rowOff>
    </xdr:from>
    <xdr:to>
      <xdr:col>9</xdr:col>
      <xdr:colOff>608898</xdr:colOff>
      <xdr:row>15</xdr:row>
      <xdr:rowOff>29090</xdr:rowOff>
    </xdr:to>
    <xdr:pic>
      <xdr:nvPicPr>
        <xdr:cNvPr id="14" name="Picture 13">
          <a:extLst>
            <a:ext uri="{FF2B5EF4-FFF2-40B4-BE49-F238E27FC236}">
              <a16:creationId xmlns:a16="http://schemas.microsoft.com/office/drawing/2014/main" id="{178CEF80-C4EE-EAD8-69CD-7D246AB566E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24866" y="1561757"/>
          <a:ext cx="1767343" cy="1170374"/>
        </a:xfrm>
        <a:prstGeom prst="rect">
          <a:avLst/>
        </a:prstGeom>
      </xdr:spPr>
    </xdr:pic>
    <xdr:clientData/>
  </xdr:twoCellAnchor>
  <xdr:twoCellAnchor>
    <xdr:from>
      <xdr:col>9</xdr:col>
      <xdr:colOff>583513</xdr:colOff>
      <xdr:row>10</xdr:row>
      <xdr:rowOff>102973</xdr:rowOff>
    </xdr:from>
    <xdr:to>
      <xdr:col>16</xdr:col>
      <xdr:colOff>214527</xdr:colOff>
      <xdr:row>13</xdr:row>
      <xdr:rowOff>25743</xdr:rowOff>
    </xdr:to>
    <xdr:sp macro="" textlink="">
      <xdr:nvSpPr>
        <xdr:cNvPr id="15" name="TextBox 14">
          <a:extLst>
            <a:ext uri="{FF2B5EF4-FFF2-40B4-BE49-F238E27FC236}">
              <a16:creationId xmlns:a16="http://schemas.microsoft.com/office/drawing/2014/main" id="{90E538CB-4A59-E92D-EB6F-D5B587B28367}"/>
            </a:ext>
          </a:extLst>
        </xdr:cNvPr>
        <xdr:cNvSpPr txBox="1"/>
      </xdr:nvSpPr>
      <xdr:spPr>
        <a:xfrm>
          <a:off x="6066824" y="1905000"/>
          <a:ext cx="3895811" cy="463378"/>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2400" b="1">
              <a:solidFill>
                <a:schemeClr val="bg1"/>
              </a:solidFill>
              <a:latin typeface="Arial Black" panose="020B0A04020102020204" pitchFamily="34" charset="0"/>
            </a:rPr>
            <a:t>Sales Trends Analysis</a:t>
          </a:r>
        </a:p>
      </xdr:txBody>
    </xdr:sp>
    <xdr:clientData/>
  </xdr:twoCellAnchor>
  <xdr:twoCellAnchor>
    <xdr:from>
      <xdr:col>12</xdr:col>
      <xdr:colOff>480541</xdr:colOff>
      <xdr:row>40</xdr:row>
      <xdr:rowOff>94392</xdr:rowOff>
    </xdr:from>
    <xdr:to>
      <xdr:col>20</xdr:col>
      <xdr:colOff>549189</xdr:colOff>
      <xdr:row>41</xdr:row>
      <xdr:rowOff>163040</xdr:rowOff>
    </xdr:to>
    <xdr:sp macro="" textlink="">
      <xdr:nvSpPr>
        <xdr:cNvPr id="16" name="TextBox 15">
          <a:extLst>
            <a:ext uri="{FF2B5EF4-FFF2-40B4-BE49-F238E27FC236}">
              <a16:creationId xmlns:a16="http://schemas.microsoft.com/office/drawing/2014/main" id="{68E12BB3-7762-D1AA-E8F5-D577BC38EE7F}"/>
            </a:ext>
          </a:extLst>
        </xdr:cNvPr>
        <xdr:cNvSpPr txBox="1"/>
      </xdr:nvSpPr>
      <xdr:spPr>
        <a:xfrm>
          <a:off x="7791622" y="7302500"/>
          <a:ext cx="4942702" cy="248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C000"/>
              </a:solidFill>
              <a:latin typeface="Arial Black" panose="020B0A04020102020204" pitchFamily="34" charset="0"/>
            </a:rPr>
            <a:t>By</a:t>
          </a:r>
          <a:r>
            <a:rPr lang="en-US" sz="1100" b="1" baseline="0">
              <a:solidFill>
                <a:srgbClr val="FFC000"/>
              </a:solidFill>
              <a:latin typeface="Arial Black" panose="020B0A04020102020204" pitchFamily="34" charset="0"/>
            </a:rPr>
            <a:t> Benard Onyango Omoga DATA  and IT  Specialist</a:t>
          </a:r>
          <a:endParaRPr lang="en-US" sz="1100" b="1">
            <a:solidFill>
              <a:srgbClr val="FFC000"/>
            </a:solidFill>
            <a:latin typeface="Arial Black" panose="020B0A040201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2.961297800925" backgroundQuery="1" createdVersion="8" refreshedVersion="8" minRefreshableVersion="3" recordCount="0" supportSubquery="1" supportAdvancedDrill="1" xr:uid="{6DB97EB2-5863-4A96-B23E-1A5FEFAF3508}">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Content]" caption="Content" attribute="1" defaultMemberUniqueName="[FNP Data].[Content].[All]" allUniqueName="[FNP Data].[Content].[All]" dimensionUniqueName="[FNP Data]" displayFolder="" count="2" memberValueDatatype="130" unbalanced="0"/>
    <cacheHierarchy uniqueName="[FNP Data].[Name]" caption="Name" attribute="1" defaultMemberUniqueName="[FNP Data].[Name].[All]" allUniqueName="[FNP Data].[Name].[All]" dimensionUniqueName="[FNP Data]" displayFolder="" count="2" memberValueDatatype="130" unbalanced="0"/>
    <cacheHierarchy uniqueName="[FNP Data].[Extension]" caption="Extension" attribute="1" defaultMemberUniqueName="[FNP Data].[Extension].[All]" allUniqueName="[FNP Data].[Extension].[All]" dimensionUniqueName="[FNP Data]" displayFolder="" count="2" memberValueDatatype="130" unbalanced="0"/>
    <cacheHierarchy uniqueName="[FNP Data].[Date accessed]" caption="Date accessed" attribute="1" time="1" defaultMemberUniqueName="[FNP Data].[Date accessed].[All]" allUniqueName="[FNP Data].[Date accessed].[All]" dimensionUniqueName="[FNP Data]" displayFolder="" count="2" memberValueDatatype="7" unbalanced="0"/>
    <cacheHierarchy uniqueName="[FNP Data].[Date modified]" caption="Date modified" attribute="1" time="1" defaultMemberUniqueName="[FNP Data].[Date modified].[All]" allUniqueName="[FNP Data].[Date modified].[All]" dimensionUniqueName="[FNP Data]" displayFolder="" count="2" memberValueDatatype="7" unbalanced="0"/>
    <cacheHierarchy uniqueName="[FNP Data].[Date created]" caption="Date created" attribute="1" time="1" defaultMemberUniqueName="[FNP Data].[Date created].[All]" allUniqueName="[FNP Data].[Date created].[All]" dimensionUniqueName="[FNP Data]" displayFolder="" count="2" memberValueDatatype="7" unbalanced="0"/>
    <cacheHierarchy uniqueName="[FNP Data].[Folder Path]" caption="Folder Path" attribute="1" defaultMemberUniqueName="[FNP Data].[Folder Path].[All]" allUniqueName="[FNP Data].[Folder Path].[All]" dimensionUniqueName="[FNP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elivery_Oder_Diff_Time]" caption="Delivery_Oder_Diff_Time" attribute="1" defaultMemberUniqueName="[Orders].[Delivery_Oder_Diff_Time].[All]" allUniqueName="[Orders].[Delivery_Oder_Diff_Time].[All]" dimensionUniqueName="[Orders]" displayFolder="" count="2" memberValueDatatype="20" unbalanced="0"/>
    <cacheHierarchy uniqueName="[Orders].[Hour (Dlivery Time)]" caption="Hour (Dlivery Time)" attribute="1" defaultMemberUniqueName="[Orders].[Hour (Dlivery Time)].[All]" allUniqueName="[Orders].[Hour (Dlivery Time)].[All]" dimensionUniqueName="[Orders]" displayFolder="" count="2" memberValueDatatype="20" unbalanced="0"/>
    <cacheHierarchy uniqueName="[Orders].[Products.Price (KSHs)]" caption="Products.Price (KSHs)" attribute="1" defaultMemberUniqueName="[Orders].[Products.Price (KSHs)].[All]" allUniqueName="[Orders].[Products.Price (KSHs)].[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der Day]" caption="Oder Day" attribute="1" defaultMemberUniqueName="[Orders].[Oder Day].[All]" allUniqueName="[Orders].[O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KSHs)]" caption="Price (KSHs)" attribute="1" defaultMemberUniqueName="[Products].[Price (KSHs)].[All]" allUniqueName="[Products].[Price (KSHs)].[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0462965" backgroundQuery="1" createdVersion="8" refreshedVersion="8" minRefreshableVersion="3" recordCount="0" supportSubquery="1" supportAdvancedDrill="1" xr:uid="{9671AC7F-90C6-4F36-9AC1-F9FED9CCE791}">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Content]" caption="Content" attribute="1" defaultMemberUniqueName="[FNP Data].[Content].[All]" allUniqueName="[FNP Data].[Content].[All]" dimensionUniqueName="[FNP Data]" displayFolder="" count="2" memberValueDatatype="130" unbalanced="0"/>
    <cacheHierarchy uniqueName="[FNP Data].[Name]" caption="Name" attribute="1" defaultMemberUniqueName="[FNP Data].[Name].[All]" allUniqueName="[FNP Data].[Name].[All]" dimensionUniqueName="[FNP Data]" displayFolder="" count="2" memberValueDatatype="130" unbalanced="0"/>
    <cacheHierarchy uniqueName="[FNP Data].[Extension]" caption="Extension" attribute="1" defaultMemberUniqueName="[FNP Data].[Extension].[All]" allUniqueName="[FNP Data].[Extension].[All]" dimensionUniqueName="[FNP Data]" displayFolder="" count="2" memberValueDatatype="130" unbalanced="0"/>
    <cacheHierarchy uniqueName="[FNP Data].[Date accessed]" caption="Date accessed" attribute="1" time="1" defaultMemberUniqueName="[FNP Data].[Date accessed].[All]" allUniqueName="[FNP Data].[Date accessed].[All]" dimensionUniqueName="[FNP Data]" displayFolder="" count="2" memberValueDatatype="7" unbalanced="0"/>
    <cacheHierarchy uniqueName="[FNP Data].[Date modified]" caption="Date modified" attribute="1" time="1" defaultMemberUniqueName="[FNP Data].[Date modified].[All]" allUniqueName="[FNP Data].[Date modified].[All]" dimensionUniqueName="[FNP Data]" displayFolder="" count="2" memberValueDatatype="7" unbalanced="0"/>
    <cacheHierarchy uniqueName="[FNP Data].[Date created]" caption="Date created" attribute="1" time="1" defaultMemberUniqueName="[FNP Data].[Date created].[All]" allUniqueName="[FNP Data].[Date created].[All]" dimensionUniqueName="[FNP Data]" displayFolder="" count="2" memberValueDatatype="7" unbalanced="0"/>
    <cacheHierarchy uniqueName="[FNP Data].[Folder Path]" caption="Folder Path" attribute="1" defaultMemberUniqueName="[FNP Data].[Folder Path].[All]" allUniqueName="[FNP Data].[Folder Path].[All]" dimensionUniqueName="[FNP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elivery_Oder_Diff_Time]" caption="Delivery_Oder_Diff_Time" attribute="1" defaultMemberUniqueName="[Orders].[Delivery_Oder_Diff_Time].[All]" allUniqueName="[Orders].[Delivery_Oder_Diff_Time].[All]" dimensionUniqueName="[Orders]" displayFolder="" count="2" memberValueDatatype="20" unbalanced="0"/>
    <cacheHierarchy uniqueName="[Orders].[Hour (Dlivery Time)]" caption="Hour (Dlivery Time)" attribute="1" defaultMemberUniqueName="[Orders].[Hour (Dlivery Time)].[All]" allUniqueName="[Orders].[Hour (Dlivery Time)].[All]" dimensionUniqueName="[Orders]" displayFolder="" count="2" memberValueDatatype="20" unbalanced="0"/>
    <cacheHierarchy uniqueName="[Orders].[Products.Price (KSHs)]" caption="Products.Price (KSHs)" attribute="1" defaultMemberUniqueName="[Orders].[Products.Price (KSHs)].[All]" allUniqueName="[Orders].[Products.Price (KSHs)].[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der Day]" caption="Oder Day" attribute="1" defaultMemberUniqueName="[Orders].[Oder Day].[All]" allUniqueName="[Orders].[O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KSHs)]" caption="Price (KSHs)" attribute="1" defaultMemberUniqueName="[Products].[Price (KSHs)].[All]" allUniqueName="[Products].[Price (KSHs)].[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0810188" backgroundQuery="1" createdVersion="8" refreshedVersion="8" minRefreshableVersion="3" recordCount="0" supportSubquery="1" supportAdvancedDrill="1" xr:uid="{BE5D2190-CB5B-4066-9A75-6BB6CFDCD302}">
  <cacheSource type="external" connectionId="9"/>
  <cacheFields count="3">
    <cacheField name="[Measures].[Sum of Price (KSHs)]" caption="Sum of Price (KSHs)" numFmtId="0" hierarchy="41" level="32767"/>
    <cacheField name="[Products].[Product_Name].[Product_Name]" caption="Product_Name" numFmtId="0" hierarchy="32" level="1">
      <sharedItems count="5">
        <s v="Aut Box"/>
        <s v="Error Gift"/>
        <s v="Magnam Set"/>
        <s v="Provident Pack"/>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0925926" backgroundQuery="1" createdVersion="8" refreshedVersion="8" minRefreshableVersion="3" recordCount="0" supportSubquery="1" supportAdvancedDrill="1" xr:uid="{6DF9E7FC-D468-407D-9963-80A8DC8D4DF2}">
  <cacheSource type="external" connectionId="9"/>
  <cacheFields count="1">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Content]" caption="Content" attribute="1" defaultMemberUniqueName="[FNP Data].[Content].[All]" allUniqueName="[FNP Data].[Content].[All]" dimensionUniqueName="[FNP Data]" displayFolder="" count="2" memberValueDatatype="130" unbalanced="0"/>
    <cacheHierarchy uniqueName="[FNP Data].[Name]" caption="Name" attribute="1" defaultMemberUniqueName="[FNP Data].[Name].[All]" allUniqueName="[FNP Data].[Name].[All]" dimensionUniqueName="[FNP Data]" displayFolder="" count="2" memberValueDatatype="130" unbalanced="0"/>
    <cacheHierarchy uniqueName="[FNP Data].[Extension]" caption="Extension" attribute="1" defaultMemberUniqueName="[FNP Data].[Extension].[All]" allUniqueName="[FNP Data].[Extension].[All]" dimensionUniqueName="[FNP Data]" displayFolder="" count="2" memberValueDatatype="130" unbalanced="0"/>
    <cacheHierarchy uniqueName="[FNP Data].[Date accessed]" caption="Date accessed" attribute="1" time="1" defaultMemberUniqueName="[FNP Data].[Date accessed].[All]" allUniqueName="[FNP Data].[Date accessed].[All]" dimensionUniqueName="[FNP Data]" displayFolder="" count="2" memberValueDatatype="7" unbalanced="0"/>
    <cacheHierarchy uniqueName="[FNP Data].[Date modified]" caption="Date modified" attribute="1" time="1" defaultMemberUniqueName="[FNP Data].[Date modified].[All]" allUniqueName="[FNP Data].[Date modified].[All]" dimensionUniqueName="[FNP Data]" displayFolder="" count="2" memberValueDatatype="7" unbalanced="0"/>
    <cacheHierarchy uniqueName="[FNP Data].[Date created]" caption="Date created" attribute="1" time="1" defaultMemberUniqueName="[FNP Data].[Date created].[All]" allUniqueName="[FNP Data].[Date created].[All]" dimensionUniqueName="[FNP Data]" displayFolder="" count="2" memberValueDatatype="7" unbalanced="0"/>
    <cacheHierarchy uniqueName="[FNP Data].[Folder Path]" caption="Folder Path" attribute="1" defaultMemberUniqueName="[FNP Data].[Folder Path].[All]" allUniqueName="[FNP Data].[Folder Path].[All]" dimensionUniqueName="[FNP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elivery_Oder_Diff_Time]" caption="Delivery_Oder_Diff_Time" attribute="1" defaultMemberUniqueName="[Orders].[Delivery_Oder_Diff_Time].[All]" allUniqueName="[Orders].[Delivery_Oder_Diff_Time].[All]" dimensionUniqueName="[Orders]" displayFolder="" count="2" memberValueDatatype="20" unbalanced="0"/>
    <cacheHierarchy uniqueName="[Orders].[Hour (Dlivery Time)]" caption="Hour (Dlivery Time)" attribute="1" defaultMemberUniqueName="[Orders].[Hour (Dlivery Time)].[All]" allUniqueName="[Orders].[Hour (Dlivery Time)].[All]" dimensionUniqueName="[Orders]" displayFolder="" count="2" memberValueDatatype="20" unbalanced="0"/>
    <cacheHierarchy uniqueName="[Orders].[Products.Price (KSHs)]" caption="Products.Price (KSHs)" attribute="1" defaultMemberUniqueName="[Orders].[Products.Price (KSHs)].[All]" allUniqueName="[Orders].[Products.Price (KSHs)].[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der Day]" caption="Oder Day" attribute="1" defaultMemberUniqueName="[Orders].[Oder Day].[All]" allUniqueName="[Orders].[O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KSHs)]" caption="Price (KSHs)" attribute="1" defaultMemberUniqueName="[Products].[Price (KSHs)].[All]" allUniqueName="[Products].[Price (KSHs)].[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1157404" backgroundQuery="1" createdVersion="8" refreshedVersion="8" minRefreshableVersion="3" recordCount="0" supportSubquery="1" supportAdvancedDrill="1" xr:uid="{01E4BA19-9A44-4A53-9670-49394E2527E9}">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1620373" backgroundQuery="1" createdVersion="8" refreshedVersion="8" minRefreshableVersion="3" recordCount="0" supportSubquery="1" supportAdvancedDrill="1" xr:uid="{AC4FF303-E196-45A2-92B6-02040C3404EC}">
  <cacheSource type="external" connectionId="9"/>
  <cacheFields count="3">
    <cacheField name="[Measures].[Sum of Revenue]" caption="Sum of Revenue" numFmtId="0" hierarchy="43" level="32767"/>
    <cacheField name="[Measures].[Average of Delivery_Oder_Diff_Time]" caption="Average of Delivery_Oder_Diff_Time" numFmtId="0" hierarchy="46"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1620373" backgroundQuery="1" createdVersion="8" refreshedVersion="8" minRefreshableVersion="3" recordCount="0" supportSubquery="1" supportAdvancedDrill="1" xr:uid="{4A745CD7-50C7-4BA1-B325-467562FA7050}">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45"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2199074" backgroundQuery="1" createdVersion="8" refreshedVersion="8" minRefreshableVersion="3" recordCount="0" supportSubquery="1" supportAdvancedDrill="1" xr:uid="{F04DF660-1096-4A99-BC4C-339D31429901}">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3.579102546297" backgroundQuery="1" createdVersion="8" refreshedVersion="8" minRefreshableVersion="3" recordCount="0" supportSubquery="1" supportAdvancedDrill="1" xr:uid="{12F6E203-4829-4261-93A4-2DA7B79D2BDD}">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 uniqueName="[FNP Data]" caption="FNP Data"/>
    <dimension measure="1" name="Measures" uniqueName="[Measures]" caption="Measures"/>
    <dimension name="Orders" uniqueName="[Orders]" caption="Orders"/>
    <dimension name="Products" uniqueName="[Products]" caption="Products"/>
  </dimensions>
  <measureGroups count="4">
    <measureGroup name="Customers" caption="Customers"/>
    <measureGroup name="FNP Data" caption="FNP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1.951881018518" backgroundQuery="1" createdVersion="3" refreshedVersion="8" minRefreshableVersion="3" recordCount="0" supportSubquery="1" supportAdvancedDrill="1" xr:uid="{60B72BE8-42E4-40A5-B2B4-8DD96FFADE2B}">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7564268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72.625644560183" backgroundQuery="1" createdVersion="3" refreshedVersion="8" minRefreshableVersion="3" recordCount="0" supportSubquery="1" supportAdvancedDrill="1" xr:uid="{4313BA71-5D3E-4A00-B346-9A6D1D100BEA}">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livery_Oder_Diff_Time]" caption="Delivery_Oder_Diff_Time" attribute="1" defaultMemberUniqueName="[Orders].[Delivery_Oder_Diff_Time].[All]" allUniqueName="[Orders].[Delivery_Oder_Diff_Time].[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s.Price (KSHs)]" caption="Products.Price (KSHs)" attribute="1" defaultMemberUniqueName="[Orders].[Products.Price (KSHs)].[All]" allUniqueName="[Orders].[Products.Price (KSH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der Day]" caption="Oder Day" attribute="1" defaultMemberUniqueName="[Orders].[Oder Day].[All]" allUniqueName="[Orders].[O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KSHs)]" caption="Price (KSHs)" attribute="1" defaultMemberUniqueName="[Products].[Price (KSHs)].[All]" allUniqueName="[Products].[Price (KSHs)].[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KSHs)]" caption="Sum of Price (KSHs)" measure="1" displayFolder="" measureGroup="Products" count="0" hidden="1">
      <extLst>
        <ext xmlns:x15="http://schemas.microsoft.com/office/spreadsheetml/2010/11/main" uri="{B97F6D7D-B522-45F9-BDA1-12C45D357490}">
          <x15:cacheHierarchy aggregatedColumn="34"/>
        </ext>
      </extLst>
    </cacheHierarchy>
    <cacheHierarchy uniqueName="[Measures].[Sum of Products.Price (KSHs)]" caption="Sum of Products.Price (KSHs)"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Oder_Diff_Time]" caption="Sum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Oder_Diff_Time]" caption="Average of Delivery_Oder_Diff_Tim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7623776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1347D2-7AA2-4129-889B-19B68DED6E24}" name="PivotTable7" cacheId="76" applyNumberFormats="0" applyBorderFormats="0" applyFontFormats="0" applyPatternFormats="0" applyAlignmentFormats="0" applyWidthHeightFormats="1" dataCaption="Values" tag="07480a3b-9986-4db2-a728-2e270cc52d69" updatedVersion="8" minRefreshableVersion="3" useAutoFormatting="1" subtotalHiddenItems="1" itemPrintTitles="1" createdVersion="8" indent="0" outline="1" outlineData="1" multipleFieldFilters="0">
  <location ref="G2:G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0" numFmtId="165"/>
  </dataFields>
  <formats count="1">
    <format dxfId="27">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258707-9B1A-4DA2-911E-D80C5759C9D0}" name="PivotTable9" cacheId="82" applyNumberFormats="0" applyBorderFormats="0" applyFontFormats="0" applyPatternFormats="0" applyAlignmentFormats="0" applyWidthHeightFormats="1" dataCaption="Values" tag="7db85b80-0cfa-4a2c-a0dd-53f7499550f7" updatedVersion="8" minRefreshableVersion="3" useAutoFormatting="1" subtotalHiddenItems="1" itemPrintTitles="1" createdVersion="8" indent="0" outline="1" outlineData="1" multipleFieldFilters="0" chartFormat="3">
  <location ref="E16:F2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BDA1B1-D4D8-46A5-A03E-407A4278D2C0}" name="PivotTable3" cacheId="6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E40:G57" firstHeaderRow="1" firstDataRow="1" firstDataCol="0"/>
  <pivotFields count="1">
    <pivotField allDrilled="1" subtotalTop="0" showAll="0" dataSourceSort="1" defaultSubtotal="0" defaultAttributeDrillState="1"/>
  </pivot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EF12CF-4201-4223-BB6D-0AEF5A5C9D10}" name="PivotTable6" cacheId="61" applyNumberFormats="0" applyBorderFormats="0" applyFontFormats="0" applyPatternFormats="0" applyAlignmentFormats="0" applyWidthHeightFormats="1" dataCaption="Values" tag="88f6dadd-0bdf-40bc-a591-b4639e593f91" updatedVersion="8" minRefreshableVersion="3" useAutoFormatting="1" subtotalHiddenItems="1" itemPrintTitles="1" createdVersion="8" indent="0" outline="1" outlineData="1" multipleFieldFilters="0" chartFormat="3">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2">
    <format dxfId="29">
      <pivotArea collapsedLevelsAreSubtotals="1" fieldPosition="0">
        <references count="1">
          <reference field="2" count="0"/>
        </references>
      </pivotArea>
    </format>
    <format dxfId="28">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6361B7-4F2E-46E6-946C-E0C6854A19A3}" name="PivotTable10" cacheId="0" applyNumberFormats="0" applyBorderFormats="0" applyFontFormats="0" applyPatternFormats="0" applyAlignmentFormats="0" applyWidthHeightFormats="1" dataCaption="Values" tag="7b1acd8b-f115-4cbb-b71e-87159f22d307" updatedVersion="8" minRefreshableVersion="3" useAutoFormatting="1" subtotalHiddenItems="1" itemPrintTitles="1" createdVersion="8" indent="0" outline="1" outlineData="1" multipleFieldFilters="0" chartFormat="10">
  <location ref="H16:I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30">
      <pivotArea collapsedLevelsAreSubtotals="1" fieldPosition="0">
        <references count="1">
          <reference field="2" count="0"/>
        </references>
      </pivotArea>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F3EA2C-9F75-486D-B1C0-B50FBFC88BA5}" name="PivotTable4" cacheId="70" applyNumberFormats="0" applyBorderFormats="0" applyFontFormats="0" applyPatternFormats="0" applyAlignmentFormats="0" applyWidthHeightFormats="1" dataCaption="Values" tag="0eb3421f-7da6-4c30-8136-b700c92fbfd3" updatedVersion="8" minRefreshableVersion="3" useAutoFormatting="1" subtotalHiddenItems="1" itemPrintTitles="1" createdVersion="8" indent="0" outline="1" outlineData="1" multipleFieldFilters="0" chartFormat="4">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2">
    <format dxfId="32">
      <pivotArea outline="0" collapsedLevelsAreSubtotals="1" fieldPosition="0"/>
    </format>
    <format dxfId="3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870D13-0767-4A57-B0B8-E23D8E758E35}" name="PivotTable8" cacheId="79" applyNumberFormats="0" applyBorderFormats="0" applyFontFormats="0" applyPatternFormats="0" applyAlignmentFormats="0" applyWidthHeightFormats="1" dataCaption="Values" tag="1c908312-1774-47d7-8b20-02608c7a875b" updatedVersion="8" minRefreshableVersion="3" useAutoFormatting="1" subtotalHiddenItems="1" itemPrintTitles="1" createdVersion="8" indent="0" outline="1" outlineData="1" multipleFieldFilters="0" chartFormat="3">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2">
    <format dxfId="34">
      <pivotArea outline="0" collapsedLevelsAreSubtotals="1"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FB7B32-8CBA-491F-9402-1888B3C51B1E}" name="PivotTable5" cacheId="73" applyNumberFormats="0" applyBorderFormats="0" applyFontFormats="0" applyPatternFormats="0" applyAlignmentFormats="0" applyWidthHeightFormats="1" dataCaption="Values" tag="889424ed-4064-48b8-af16-66ff375d168f" updatedVersion="8" minRefreshableVersion="3" useAutoFormatting="1" subtotalHiddenItems="1" itemPrintTitles="1" createdVersion="8" indent="0" outline="1" outlineData="1" multipleFieldFilters="0">
  <location ref="E2:F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numFmtId="165"/>
    <dataField name="Average of Delivery_Oder_Diff_Time" fld="1" subtotal="average" baseField="0" baseItem="1"/>
  </dataFields>
  <formats count="1">
    <format dxfId="35">
      <pivotArea outline="0" collapsedLevelsAreSubtotals="1" fieldPosition="0">
        <references count="1">
          <reference field="4294967294" count="1" selected="0">
            <x v="0"/>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_Oder_Diff_Tim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1E1EDF-431A-40C1-8A34-10D973642571}" name="PivotTable1"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30:F3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KSHs)" fld="0" baseField="0" baseItem="0" numFmtId="165"/>
  </dataFields>
  <formats count="1">
    <format dxfId="3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72669DC-C16F-4F7A-B4B9-9B24D528389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944703E-3892-4B0C-AB8A-3BD158A9E78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7C20FBC-366F-4604-B2AA-EC1303AE920A}"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elivery_Oder_Diff_Time" tableColumnId="13"/>
      <queryTableField id="14" name="Hour (Dlivery Time)" tableColumnId="14"/>
      <queryTableField id="15" name="Products.Price (KSHs)" tableColumnId="15"/>
      <queryTableField id="16" name="Revenue" tableColumnId="16"/>
      <queryTableField id="17" name="Calculated Column 1"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199F2F9-115C-4942-B015-F49C69E7177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KSHs)"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CE6039E-6CB2-4FAC-BCC6-782D87018077}" sourceName="[Orders].[Occasion]">
  <pivotTables>
    <pivotTable tabId="1" name="PivotTable6"/>
    <pivotTable tabId="1" name="PivotTable1"/>
    <pivotTable tabId="1" name="PivotTable3"/>
    <pivotTable tabId="1" name="PivotTable4"/>
    <pivotTable tabId="1" name="PivotTable5"/>
    <pivotTable tabId="1" name="PivotTable7"/>
    <pivotTable tabId="1" name="PivotTable8"/>
    <pivotTable tabId="1" name="PivotTable9"/>
  </pivotTables>
  <data>
    <olap pivotCacheId="177564268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49315FF-DCB5-4718-AD93-9CDD13953211}" cache="Slicer_Occasion" caption="Occasion" startItem="1" level="1" style="SlicerStyleLight5" rowHeight="241300"/>
  <slicer name="Occasion 1" xr10:uid="{30C323ED-6279-4C98-A372-BC04F43CA8C5}" cache="Slicer_Occasion" caption="Occasion" columnCount="3" level="1"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63FAB-E6EE-4A47-9B53-B3937989A454}" name="FNP_Data" displayName="FNP_Data" ref="A1:F4" tableType="queryTable" totalsRowShown="0">
  <autoFilter ref="A1:F4" xr:uid="{08563FAB-E6EE-4A47-9B53-B3937989A454}"/>
  <tableColumns count="6">
    <tableColumn id="1" xr3:uid="{D1FDC791-DDED-445F-BBF6-E15A18BF0EB3}" uniqueName="1" name="Name" queryTableFieldId="1" dataDxfId="62"/>
    <tableColumn id="2" xr3:uid="{A8CD1284-A913-4C9F-A8CC-0C96B57D0379}" uniqueName="2" name="Extension" queryTableFieldId="2" dataDxfId="61"/>
    <tableColumn id="3" xr3:uid="{8DE4F5EF-E3FC-4874-9E00-CF5A4B3CC836}" uniqueName="3" name="Date accessed" queryTableFieldId="3" dataDxfId="60"/>
    <tableColumn id="4" xr3:uid="{006113D2-D04E-4509-9DB2-A0266B32EB40}" uniqueName="4" name="Date modified" queryTableFieldId="4" dataDxfId="59"/>
    <tableColumn id="5" xr3:uid="{79D11159-6F85-4B4A-A34A-905E82B39A34}" uniqueName="5" name="Date created" queryTableFieldId="5" dataDxfId="58"/>
    <tableColumn id="6" xr3:uid="{8109D1BB-5B86-4C1D-8827-5889FAB63A08}" uniqueName="6" name="Folder Path" queryTableFieldId="6" dataDxfId="5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5AC1F7-C0A6-43CC-9C7A-03321C257F5D}" name="Customers" displayName="Customers" ref="A1:G101" tableType="queryTable" totalsRowShown="0">
  <autoFilter ref="A1:G101" xr:uid="{DF5AC1F7-C0A6-43CC-9C7A-03321C257F5D}"/>
  <tableColumns count="7">
    <tableColumn id="1" xr3:uid="{D57EE5B6-42DF-4005-B181-F682043FC668}" uniqueName="1" name="Customer_ID" queryTableFieldId="1" dataDxfId="56"/>
    <tableColumn id="2" xr3:uid="{8664120D-2ADF-43A8-9987-A5BD49121432}" uniqueName="2" name="Name" queryTableFieldId="2" dataDxfId="55"/>
    <tableColumn id="3" xr3:uid="{E2FCC371-A9E1-4AEB-8E5A-F6BA69466DD2}" uniqueName="3" name="City" queryTableFieldId="3" dataDxfId="54"/>
    <tableColumn id="4" xr3:uid="{A6F283A9-08FD-419F-871B-301FD7C15236}" uniqueName="4" name="Contact_Number" queryTableFieldId="4" dataDxfId="53"/>
    <tableColumn id="5" xr3:uid="{B18287C2-9C5D-402C-816C-2C16AB7F2438}" uniqueName="5" name="Email" queryTableFieldId="5" dataDxfId="52"/>
    <tableColumn id="6" xr3:uid="{B98DA2B1-F331-4859-AD42-A9F53CE7F8B3}" uniqueName="6" name="Gender" queryTableFieldId="6" dataDxfId="51"/>
    <tableColumn id="7" xr3:uid="{CE4D4401-07E2-486C-AA8A-8FD5260C9132}" uniqueName="7" name="Address" queryTableFieldId="7"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AB7878-6410-4A26-B511-56F3B28FA0A4}" name="Orders" displayName="Orders" ref="A1:Q1001" tableType="queryTable" totalsRowShown="0">
  <autoFilter ref="A1:Q1001" xr:uid="{AEAB7878-6410-4A26-B511-56F3B28FA0A4}"/>
  <tableColumns count="17">
    <tableColumn id="1" xr3:uid="{FFF01726-6BA7-426E-B5BA-64EACEB66639}" uniqueName="1" name="Order_ID" queryTableFieldId="1"/>
    <tableColumn id="2" xr3:uid="{5364A492-D00E-4DD5-A517-AA4350A660EB}" uniqueName="2" name="Customer_ID" queryTableFieldId="2" dataDxfId="49"/>
    <tableColumn id="3" xr3:uid="{0B76AAFE-CC95-4EC2-BD3A-627673F8C8FB}" uniqueName="3" name="Product_ID" queryTableFieldId="3"/>
    <tableColumn id="4" xr3:uid="{897A2D94-4835-4800-B2CF-91F9AA0BA641}" uniqueName="4" name="Quantity" queryTableFieldId="4"/>
    <tableColumn id="5" xr3:uid="{3712EA5D-2619-4C57-8C15-515B4631C4E2}" uniqueName="5" name="Order_Date" queryTableFieldId="5" dataDxfId="48"/>
    <tableColumn id="6" xr3:uid="{18ED68A8-9E88-45E6-ADC2-F64EBC7F795A}" uniqueName="6" name="Order_Time" queryTableFieldId="6" dataDxfId="47"/>
    <tableColumn id="7" xr3:uid="{7684E673-940C-4511-B0E4-95110E1D3F21}" uniqueName="7" name="Delivery_Date" queryTableFieldId="7" dataDxfId="46"/>
    <tableColumn id="8" xr3:uid="{226B36D1-3F88-424F-B2AC-3B9610E992EF}" uniqueName="8" name="Delivery_Time" queryTableFieldId="8" dataDxfId="45"/>
    <tableColumn id="9" xr3:uid="{1F2B72D8-6254-40B5-898C-50BE8BADF012}" uniqueName="9" name="Location" queryTableFieldId="9" dataDxfId="44"/>
    <tableColumn id="10" xr3:uid="{DBB639A2-E46A-4104-BCF9-480B8D8DD268}" uniqueName="10" name="Occasion" queryTableFieldId="10" dataDxfId="43"/>
    <tableColumn id="11" xr3:uid="{2449D599-084E-4AF6-A7A0-EF2F3672C9B2}" uniqueName="11" name="Month Name" queryTableFieldId="11" dataDxfId="42"/>
    <tableColumn id="12" xr3:uid="{5E9843BE-F451-412E-BF9D-DE83915F48A6}" uniqueName="12" name="Hour(Order Time)" queryTableFieldId="12"/>
    <tableColumn id="13" xr3:uid="{B11CDBEB-72AF-4136-BA77-0170AE374435}" uniqueName="13" name="Delivery_Oder_Diff_Time" queryTableFieldId="13"/>
    <tableColumn id="14" xr3:uid="{47FEE82C-9058-4D43-907B-DE24F1E9973B}" uniqueName="14" name="Hour (Dlivery Time)" queryTableFieldId="14"/>
    <tableColumn id="15" xr3:uid="{C4F03946-3EE1-49C4-AC00-70BB17CFA5F6}" uniqueName="15" name="Products.Price (KSHs)" queryTableFieldId="15" dataDxfId="41"/>
    <tableColumn id="16" xr3:uid="{6C1D099F-D32D-4284-ADCC-DABFE9837784}" uniqueName="16" name="Revenue" queryTableFieldId="16"/>
    <tableColumn id="17" xr3:uid="{EBF237F7-CA03-484D-B97D-E4DE95F5B51D}" uniqueName="17" name="Calculated Column 1"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521311-49C4-42CA-A136-70B2A2170016}" name="Products" displayName="Products" ref="A1:E71" tableType="queryTable" totalsRowShown="0">
  <autoFilter ref="A1:E71" xr:uid="{6D521311-49C4-42CA-A136-70B2A2170016}"/>
  <tableColumns count="5">
    <tableColumn id="1" xr3:uid="{AFE2C278-7D71-478E-9B05-CDC91040C6E4}" uniqueName="1" name="Product_ID" queryTableFieldId="1"/>
    <tableColumn id="2" xr3:uid="{26C50FD1-6470-41FF-A807-A4022E897A30}" uniqueName="2" name="Product_Name" queryTableFieldId="2" dataDxfId="40"/>
    <tableColumn id="3" xr3:uid="{AC053F29-50A8-4D66-AF67-A4BEEEA912CA}" uniqueName="3" name="Category" queryTableFieldId="3" dataDxfId="39"/>
    <tableColumn id="4" xr3:uid="{ABAC959F-7917-4429-BC3A-5C8EB27EB05B}" uniqueName="4" name="Price (KSHs)" queryTableFieldId="4" dataDxfId="38" dataCellStyle="Currency"/>
    <tableColumn id="5" xr3:uid="{2B1372BD-A997-4925-A639-1790B8BC6B6E}" uniqueName="5" name="Occasion" queryTableFieldId="5" dataDxf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E3690AE-0653-480B-8537-F0E0B12F98BF}" sourceName="[Orders].[Order_Date]">
  <pivotTables>
    <pivotTable tabId="1" name="PivotTable3"/>
  </pivotTables>
  <state minimalRefreshVersion="6" lastRefreshVersion="6" pivotCacheId="76237768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A1BDACF-5236-444A-8FE3-23004C301CFA}" sourceName="[Orders].[Delivery_Date]">
  <pivotTables>
    <pivotTable tabId="1" name="PivotTable3"/>
  </pivotTables>
  <state minimalRefreshVersion="6" lastRefreshVersion="6" pivotCacheId="76237768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C22D4F8-EE01-45BE-976C-7A6FB20195FC}" cache="Timeline_Order_Date" caption="Order_Date" level="2" selectionLevel="2" scrollPosition="2023-01-01T00:00:00"/>
  <timeline name="Delivery_Date" xr10:uid="{1392B22B-05AC-4BB1-B235-83B14C38787C}" cache="Timeline_Delivery_Date" caption="Delivery_Date" level="2" selectionLevel="2" scrollPosition="2023-03-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A212-B4B1-443C-8080-5F1F2DE009CB}">
  <dimension ref="A1:F4"/>
  <sheetViews>
    <sheetView workbookViewId="0">
      <selection activeCell="B20" sqref="B20"/>
    </sheetView>
  </sheetViews>
  <sheetFormatPr defaultRowHeight="14.5" x14ac:dyDescent="0.35"/>
  <cols>
    <col min="1" max="1" width="12.54296875" bestFit="1" customWidth="1"/>
    <col min="2" max="2" width="11.26953125" bestFit="1" customWidth="1"/>
    <col min="3" max="3" width="14.90625" bestFit="1" customWidth="1"/>
    <col min="4" max="4" width="15" bestFit="1" customWidth="1"/>
    <col min="5" max="5" width="14.54296875" bestFit="1" customWidth="1"/>
    <col min="6" max="6" width="28" bestFit="1" customWidth="1"/>
  </cols>
  <sheetData>
    <row r="1" spans="1:6" x14ac:dyDescent="0.35">
      <c r="A1" t="s">
        <v>0</v>
      </c>
      <c r="B1" t="s">
        <v>1</v>
      </c>
      <c r="C1" t="s">
        <v>2</v>
      </c>
      <c r="D1" t="s">
        <v>3</v>
      </c>
      <c r="E1" t="s">
        <v>4</v>
      </c>
      <c r="F1" t="s">
        <v>5</v>
      </c>
    </row>
    <row r="2" spans="1:6" x14ac:dyDescent="0.35">
      <c r="A2" t="s">
        <v>6</v>
      </c>
      <c r="B2" t="s">
        <v>7</v>
      </c>
      <c r="C2" s="1">
        <v>46171.784514043211</v>
      </c>
      <c r="D2" s="1">
        <v>46171.646838271605</v>
      </c>
      <c r="E2" s="1">
        <v>46171.646833256171</v>
      </c>
      <c r="F2" t="s">
        <v>8</v>
      </c>
    </row>
    <row r="3" spans="1:6" x14ac:dyDescent="0.35">
      <c r="A3" t="s">
        <v>9</v>
      </c>
      <c r="B3" t="s">
        <v>7</v>
      </c>
      <c r="C3" s="1">
        <v>46171.760350385804</v>
      </c>
      <c r="D3" s="1">
        <v>46171.647837152777</v>
      </c>
      <c r="E3" s="1">
        <v>46171.64783302469</v>
      </c>
      <c r="F3" t="s">
        <v>8</v>
      </c>
    </row>
    <row r="4" spans="1:6" x14ac:dyDescent="0.35">
      <c r="A4" t="s">
        <v>10</v>
      </c>
      <c r="B4" t="s">
        <v>7</v>
      </c>
      <c r="C4" s="1">
        <v>46171.784547993826</v>
      </c>
      <c r="D4" s="1">
        <v>46171.655513348764</v>
      </c>
      <c r="E4" s="1">
        <v>46171.647152121914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D0E5F-562E-4102-BB8F-C8357B50FCE2}">
  <dimension ref="A1:G101"/>
  <sheetViews>
    <sheetView workbookViewId="0">
      <selection activeCell="B1" sqref="B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0806-C7FB-4038-83FD-FCFC704DDB68}">
  <dimension ref="A1:Q1001"/>
  <sheetViews>
    <sheetView topLeftCell="G1" workbookViewId="0">
      <selection activeCell="Q4" sqref="Q4"/>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08984375" bestFit="1" customWidth="1"/>
    <col min="13" max="13" width="24.36328125" bestFit="1" customWidth="1"/>
    <col min="14" max="14" width="19.453125" bestFit="1" customWidth="1"/>
    <col min="15" max="15" width="22.453125" style="6" bestFit="1" customWidth="1"/>
    <col min="16" max="16" width="10.26953125" style="6" bestFit="1" customWidth="1"/>
    <col min="17" max="17" width="20.36328125" style="6"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s="6" t="s">
        <v>618</v>
      </c>
      <c r="P1" t="s">
        <v>935</v>
      </c>
      <c r="Q1" t="s">
        <v>936</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s="6">
        <v>1492</v>
      </c>
      <c r="P2">
        <v>2984</v>
      </c>
      <c r="Q2" t="s">
        <v>937</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s="6">
        <v>1492</v>
      </c>
      <c r="P3">
        <v>7460</v>
      </c>
      <c r="Q3" t="s">
        <v>938</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s="6">
        <v>1234</v>
      </c>
      <c r="P4">
        <v>6170</v>
      </c>
      <c r="Q4" t="s">
        <v>939</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s="6">
        <v>236</v>
      </c>
      <c r="P5">
        <v>236</v>
      </c>
      <c r="Q5" t="s">
        <v>937</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s="6">
        <v>903</v>
      </c>
      <c r="P6">
        <v>2709</v>
      </c>
      <c r="Q6" t="s">
        <v>940</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s="6">
        <v>1096</v>
      </c>
      <c r="P7">
        <v>2192</v>
      </c>
      <c r="Q7" t="s">
        <v>937</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s="6">
        <v>441</v>
      </c>
      <c r="P8">
        <v>2205</v>
      </c>
      <c r="Q8" t="s">
        <v>937</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s="6">
        <v>1534</v>
      </c>
      <c r="P9">
        <v>7670</v>
      </c>
      <c r="Q9" t="s">
        <v>940</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v>942</v>
      </c>
      <c r="Q10" t="s">
        <v>940</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v>6170</v>
      </c>
      <c r="Q11" t="s">
        <v>937</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v>7670</v>
      </c>
      <c r="Q12" t="s">
        <v>937</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v>3612</v>
      </c>
      <c r="Q13" t="s">
        <v>937</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v>1180</v>
      </c>
      <c r="Q14" t="s">
        <v>941</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v>4476</v>
      </c>
      <c r="Q15" t="s">
        <v>941</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v>3068</v>
      </c>
      <c r="Q16" t="s">
        <v>941</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v>2984</v>
      </c>
      <c r="Q17" t="s">
        <v>942</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v>441</v>
      </c>
      <c r="Q18" t="s">
        <v>938</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v>708</v>
      </c>
      <c r="Q19" t="s">
        <v>937</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v>4515</v>
      </c>
      <c r="Q20" t="s">
        <v>937</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v>5968</v>
      </c>
      <c r="Q21" t="s">
        <v>938</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v>1791</v>
      </c>
      <c r="Q22" t="s">
        <v>937</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v>1806</v>
      </c>
      <c r="Q23" t="s">
        <v>940</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v>1180</v>
      </c>
      <c r="Q24" t="s">
        <v>940</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v>2709</v>
      </c>
      <c r="Q25" t="s">
        <v>937</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v>1534</v>
      </c>
      <c r="Q26" t="s">
        <v>940</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v>6170</v>
      </c>
      <c r="Q27" t="s">
        <v>938</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v>1194</v>
      </c>
      <c r="Q28" t="s">
        <v>940</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v>2709</v>
      </c>
      <c r="Q29" t="s">
        <v>942</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v>708</v>
      </c>
      <c r="Q30" t="s">
        <v>943</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v>1492</v>
      </c>
      <c r="Q31" t="s">
        <v>939</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v>3702</v>
      </c>
      <c r="Q32" t="s">
        <v>942</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v>1806</v>
      </c>
      <c r="Q33" t="s">
        <v>939</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v>1534</v>
      </c>
      <c r="Q34" t="s">
        <v>937</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v>3612</v>
      </c>
      <c r="Q35" t="s">
        <v>937</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v>1534</v>
      </c>
      <c r="Q36" t="s">
        <v>937</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v>2205</v>
      </c>
      <c r="Q37" t="s">
        <v>937</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v>3702</v>
      </c>
      <c r="Q38" t="s">
        <v>941</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v>4602</v>
      </c>
      <c r="Q39" t="s">
        <v>938</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v>597</v>
      </c>
      <c r="Q40" t="s">
        <v>938</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v>903</v>
      </c>
      <c r="Q41" t="s">
        <v>939</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v>7460</v>
      </c>
      <c r="Q42" t="s">
        <v>940</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v>1234</v>
      </c>
      <c r="Q43" t="s">
        <v>937</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v>882</v>
      </c>
      <c r="Q44" t="s">
        <v>941</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v>4602</v>
      </c>
      <c r="Q45" t="s">
        <v>938</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v>2709</v>
      </c>
      <c r="Q46" t="s">
        <v>937</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v>1570</v>
      </c>
      <c r="Q47" t="s">
        <v>940</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v>3612</v>
      </c>
      <c r="Q48" t="s">
        <v>941</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v>1570</v>
      </c>
      <c r="Q49" t="s">
        <v>942</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v>3068</v>
      </c>
      <c r="Q50" t="s">
        <v>942</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v>628</v>
      </c>
      <c r="Q51" t="s">
        <v>940</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v>1256</v>
      </c>
      <c r="Q52" t="s">
        <v>940</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v>5480</v>
      </c>
      <c r="Q53" t="s">
        <v>938</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v>1096</v>
      </c>
      <c r="Q54" t="s">
        <v>942</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v>441</v>
      </c>
      <c r="Q55" t="s">
        <v>940</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v>628</v>
      </c>
      <c r="Q56" t="s">
        <v>937</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v>1096</v>
      </c>
      <c r="Q57" t="s">
        <v>940</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v>4384</v>
      </c>
      <c r="Q58" t="s">
        <v>943</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v>4936</v>
      </c>
      <c r="Q59" t="s">
        <v>941</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v>944</v>
      </c>
      <c r="Q60" t="s">
        <v>942</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v>1570</v>
      </c>
      <c r="Q61" t="s">
        <v>937</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v>942</v>
      </c>
      <c r="Q62" t="s">
        <v>937</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v>4515</v>
      </c>
      <c r="Q63" t="s">
        <v>940</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v>7460</v>
      </c>
      <c r="Q64" t="s">
        <v>937</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v>7670</v>
      </c>
      <c r="Q65" t="s">
        <v>938</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v>1806</v>
      </c>
      <c r="Q66" t="s">
        <v>941</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v>6136</v>
      </c>
      <c r="Q67" t="s">
        <v>937</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v>4515</v>
      </c>
      <c r="Q68" t="s">
        <v>937</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v>4476</v>
      </c>
      <c r="Q69" t="s">
        <v>940</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v>7670</v>
      </c>
      <c r="Q70" t="s">
        <v>938</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v>5480</v>
      </c>
      <c r="Q71" t="s">
        <v>939</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s="6">
        <v>236</v>
      </c>
      <c r="P72">
        <v>1180</v>
      </c>
      <c r="Q72" t="s">
        <v>939</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v>4384</v>
      </c>
      <c r="Q73" t="s">
        <v>941</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v>1194</v>
      </c>
      <c r="Q74" t="s">
        <v>940</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v>6170</v>
      </c>
      <c r="Q75" t="s">
        <v>940</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v>4476</v>
      </c>
      <c r="Q76" t="s">
        <v>937</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v>2985</v>
      </c>
      <c r="Q77" t="s">
        <v>939</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v>942</v>
      </c>
      <c r="Q78" t="s">
        <v>937</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v>1194</v>
      </c>
      <c r="Q79" t="s">
        <v>942</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v>1791</v>
      </c>
      <c r="Q80" t="s">
        <v>937</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v>903</v>
      </c>
      <c r="Q81" t="s">
        <v>943</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s="6">
        <v>1534</v>
      </c>
      <c r="P82">
        <v>7670</v>
      </c>
      <c r="Q82" t="s">
        <v>942</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v>472</v>
      </c>
      <c r="Q83" t="s">
        <v>938</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v>2709</v>
      </c>
      <c r="Q84" t="s">
        <v>937</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v>3702</v>
      </c>
      <c r="Q85" t="s">
        <v>938</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v>7670</v>
      </c>
      <c r="Q86" t="s">
        <v>939</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v>1323</v>
      </c>
      <c r="Q87" t="s">
        <v>940</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v>1534</v>
      </c>
      <c r="Q88" t="s">
        <v>941</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v>628</v>
      </c>
      <c r="Q89" t="s">
        <v>939</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v>5968</v>
      </c>
      <c r="Q90" t="s">
        <v>938</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v>7460</v>
      </c>
      <c r="Q91" t="s">
        <v>940</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v>4602</v>
      </c>
      <c r="Q92" t="s">
        <v>940</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v>3702</v>
      </c>
      <c r="Q93" t="s">
        <v>943</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v>597</v>
      </c>
      <c r="Q94" t="s">
        <v>937</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v>1096</v>
      </c>
      <c r="Q95" t="s">
        <v>937</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v>1234</v>
      </c>
      <c r="Q96" t="s">
        <v>940</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v>7670</v>
      </c>
      <c r="Q97" t="s">
        <v>941</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v>597</v>
      </c>
      <c r="Q98" t="s">
        <v>937</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v>628</v>
      </c>
      <c r="Q99" t="s">
        <v>942</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v>2984</v>
      </c>
      <c r="Q100" t="s">
        <v>938</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v>4384</v>
      </c>
      <c r="Q101" t="s">
        <v>941</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v>236</v>
      </c>
      <c r="Q102" t="s">
        <v>943</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v>1764</v>
      </c>
      <c r="Q103" t="s">
        <v>940</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v>1492</v>
      </c>
      <c r="Q104" t="s">
        <v>939</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v>2709</v>
      </c>
      <c r="Q105" t="s">
        <v>941</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v>1256</v>
      </c>
      <c r="Q106" t="s">
        <v>943</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v>628</v>
      </c>
      <c r="Q107" t="s">
        <v>941</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v>2468</v>
      </c>
      <c r="Q108" t="s">
        <v>940</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v>3612</v>
      </c>
      <c r="Q109" t="s">
        <v>940</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v>2388</v>
      </c>
      <c r="Q110" t="s">
        <v>940</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v>708</v>
      </c>
      <c r="Q111" t="s">
        <v>941</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v>1194</v>
      </c>
      <c r="Q112" t="s">
        <v>941</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v>2468</v>
      </c>
      <c r="Q113" t="s">
        <v>937</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v>472</v>
      </c>
      <c r="Q114" t="s">
        <v>941</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v>6870</v>
      </c>
      <c r="Q115" t="s">
        <v>939</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v>1444</v>
      </c>
      <c r="Q116" t="s">
        <v>938</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v>2045</v>
      </c>
      <c r="Q117" t="s">
        <v>942</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v>2045</v>
      </c>
      <c r="Q118" t="s">
        <v>940</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v>3816</v>
      </c>
      <c r="Q119" t="s">
        <v>940</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v>2091</v>
      </c>
      <c r="Q120" t="s">
        <v>939</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v>2091</v>
      </c>
      <c r="Q121" t="s">
        <v>943</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v>1792</v>
      </c>
      <c r="Q122" t="s">
        <v>943</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v>1865</v>
      </c>
      <c r="Q123" t="s">
        <v>940</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v>9325</v>
      </c>
      <c r="Q124" t="s">
        <v>940</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v>9325</v>
      </c>
      <c r="Q125" t="s">
        <v>940</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v>9675</v>
      </c>
      <c r="Q126" t="s">
        <v>938</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v>2224</v>
      </c>
      <c r="Q127" t="s">
        <v>941</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v>2343</v>
      </c>
      <c r="Q128" t="s">
        <v>938</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v>406</v>
      </c>
      <c r="Q129" t="s">
        <v>937</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v>1156</v>
      </c>
      <c r="Q130" t="s">
        <v>941</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v>2110</v>
      </c>
      <c r="Q131" t="s">
        <v>941</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v>7692</v>
      </c>
      <c r="Q132" t="s">
        <v>939</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v>1356</v>
      </c>
      <c r="Q133" t="s">
        <v>941</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v>2748</v>
      </c>
      <c r="Q134" t="s">
        <v>939</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v>7460</v>
      </c>
      <c r="Q135" t="s">
        <v>942</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v>1220</v>
      </c>
      <c r="Q136" t="s">
        <v>942</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v>2168</v>
      </c>
      <c r="Q137" t="s">
        <v>941</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v>1620</v>
      </c>
      <c r="Q138" t="s">
        <v>943</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v>5595</v>
      </c>
      <c r="Q139" t="s">
        <v>940</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v>4944</v>
      </c>
      <c r="Q140" t="s">
        <v>939</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v>4914</v>
      </c>
      <c r="Q141" t="s">
        <v>942</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v>818</v>
      </c>
      <c r="Q142" t="s">
        <v>942</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v>8720</v>
      </c>
      <c r="Q143" t="s">
        <v>942</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v>5560</v>
      </c>
      <c r="Q144" t="s">
        <v>940</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v>2544</v>
      </c>
      <c r="Q145" t="s">
        <v>940</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v>4990</v>
      </c>
      <c r="Q146" t="s">
        <v>942</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v>1636</v>
      </c>
      <c r="Q147" t="s">
        <v>942</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v>1996</v>
      </c>
      <c r="Q148" t="s">
        <v>940</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v>2045</v>
      </c>
      <c r="Q149" t="s">
        <v>940</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v>3423</v>
      </c>
      <c r="Q150" t="s">
        <v>942</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v>3336</v>
      </c>
      <c r="Q151" t="s">
        <v>941</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v>2196</v>
      </c>
      <c r="Q152" t="s">
        <v>943</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v>3830</v>
      </c>
      <c r="Q153" t="s">
        <v>943</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v>8195</v>
      </c>
      <c r="Q154" t="s">
        <v>943</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v>5705</v>
      </c>
      <c r="Q155" t="s">
        <v>940</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v>3276</v>
      </c>
      <c r="Q156" t="s">
        <v>942</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v>758</v>
      </c>
      <c r="Q157" t="s">
        <v>937</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v>2994</v>
      </c>
      <c r="Q158" t="s">
        <v>940</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v>1688</v>
      </c>
      <c r="Q159" t="s">
        <v>940</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v>1636</v>
      </c>
      <c r="Q160" t="s">
        <v>942</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v>3336</v>
      </c>
      <c r="Q161" t="s">
        <v>941</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v>2045</v>
      </c>
      <c r="Q162" t="s">
        <v>940</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v>578</v>
      </c>
      <c r="Q163" t="s">
        <v>940</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v>6552</v>
      </c>
      <c r="Q164" t="s">
        <v>941</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v>8190</v>
      </c>
      <c r="Q165" t="s">
        <v>942</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v>7740</v>
      </c>
      <c r="Q166" t="s">
        <v>942</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v>1636</v>
      </c>
      <c r="Q167" t="s">
        <v>942</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v>998</v>
      </c>
      <c r="Q168" t="s">
        <v>940</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v>3276</v>
      </c>
      <c r="Q169" t="s">
        <v>941</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v>1266</v>
      </c>
      <c r="Q170" t="s">
        <v>941</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v>4336</v>
      </c>
      <c r="Q171" t="s">
        <v>940</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v>3606</v>
      </c>
      <c r="Q172" t="s">
        <v>943</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v>2404</v>
      </c>
      <c r="Q173" t="s">
        <v>942</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v>6260</v>
      </c>
      <c r="Q174" t="s">
        <v>941</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v>5008</v>
      </c>
      <c r="Q175" t="s">
        <v>942</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v>2994</v>
      </c>
      <c r="Q176" t="s">
        <v>942</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v>1112</v>
      </c>
      <c r="Q177" t="s">
        <v>942</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v>1639</v>
      </c>
      <c r="Q178" t="s">
        <v>940</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v>6740</v>
      </c>
      <c r="Q179" t="s">
        <v>943</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v>4336</v>
      </c>
      <c r="Q180" t="s">
        <v>940</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v>4122</v>
      </c>
      <c r="Q181" t="s">
        <v>942</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v>3730</v>
      </c>
      <c r="Q182" t="s">
        <v>940</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v>1266</v>
      </c>
      <c r="Q183" t="s">
        <v>941</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v>5376</v>
      </c>
      <c r="Q184" t="s">
        <v>943</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v>2091</v>
      </c>
      <c r="Q185" t="s">
        <v>943</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v>4564</v>
      </c>
      <c r="Q186" t="s">
        <v>942</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v>3032</v>
      </c>
      <c r="Q187" t="s">
        <v>937</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v>2110</v>
      </c>
      <c r="Q188" t="s">
        <v>940</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v>3464</v>
      </c>
      <c r="Q189" t="s">
        <v>939</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v>5745</v>
      </c>
      <c r="Q190" t="s">
        <v>937</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v>1899</v>
      </c>
      <c r="Q191" t="s">
        <v>943</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v>1272</v>
      </c>
      <c r="Q192" t="s">
        <v>943</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v>5560</v>
      </c>
      <c r="Q193" t="s">
        <v>941</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v>422</v>
      </c>
      <c r="Q194" t="s">
        <v>940</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v>722</v>
      </c>
      <c r="Q195" t="s">
        <v>940</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v>2598</v>
      </c>
      <c r="Q196" t="s">
        <v>939</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v>8190</v>
      </c>
      <c r="Q197" t="s">
        <v>940</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v>578</v>
      </c>
      <c r="Q198" t="s">
        <v>942</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v>2504</v>
      </c>
      <c r="Q199" t="s">
        <v>942</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v>5595</v>
      </c>
      <c r="Q200" t="s">
        <v>942</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v>7168</v>
      </c>
      <c r="Q201" t="s">
        <v>941</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v>7580</v>
      </c>
      <c r="Q202" t="s">
        <v>938</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v>4068</v>
      </c>
      <c r="Q203" t="s">
        <v>941</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v>1348</v>
      </c>
      <c r="Q204" t="s">
        <v>943</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v>1792</v>
      </c>
      <c r="Q205" t="s">
        <v>943</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v>9325</v>
      </c>
      <c r="Q206" t="s">
        <v>942</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v>1636</v>
      </c>
      <c r="Q207" t="s">
        <v>941</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v>6556</v>
      </c>
      <c r="Q208" t="s">
        <v>940</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v>4448</v>
      </c>
      <c r="Q209" t="s">
        <v>941</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v>9675</v>
      </c>
      <c r="Q210" t="s">
        <v>938</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v>1830</v>
      </c>
      <c r="Q211" t="s">
        <v>940</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v>5008</v>
      </c>
      <c r="Q212" t="s">
        <v>942</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v>6552</v>
      </c>
      <c r="Q213" t="s">
        <v>942</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v>1015</v>
      </c>
      <c r="Q214" t="s">
        <v>943</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v>259</v>
      </c>
      <c r="Q215" t="s">
        <v>938</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v>3606</v>
      </c>
      <c r="Q216" t="s">
        <v>942</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v>3608</v>
      </c>
      <c r="Q217" t="s">
        <v>940</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v>2016</v>
      </c>
      <c r="Q218" t="s">
        <v>941</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v>6328</v>
      </c>
      <c r="Q219" t="s">
        <v>937</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v>1008</v>
      </c>
      <c r="Q220" t="s">
        <v>939</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v>3584</v>
      </c>
      <c r="Q221" t="s">
        <v>942</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v>3798</v>
      </c>
      <c r="Q222" t="s">
        <v>939</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v>1444</v>
      </c>
      <c r="Q223" t="s">
        <v>938</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v>203</v>
      </c>
      <c r="Q224" t="s">
        <v>939</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v>1744</v>
      </c>
      <c r="Q225" t="s">
        <v>939</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v>7220</v>
      </c>
      <c r="Q226" t="s">
        <v>937</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v>5685</v>
      </c>
      <c r="Q227" t="s">
        <v>941</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v>6328</v>
      </c>
      <c r="Q228" t="s">
        <v>940</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v>4122</v>
      </c>
      <c r="Q229" t="s">
        <v>940</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v>1582</v>
      </c>
      <c r="Q230" t="s">
        <v>943</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v>3360</v>
      </c>
      <c r="Q231" t="s">
        <v>938</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v>3608</v>
      </c>
      <c r="Q232" t="s">
        <v>939</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v>2810</v>
      </c>
      <c r="Q233" t="s">
        <v>943</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v>1295</v>
      </c>
      <c r="Q234" t="s">
        <v>938</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v>3608</v>
      </c>
      <c r="Q235" t="s">
        <v>940</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v>1344</v>
      </c>
      <c r="Q236" t="s">
        <v>938</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v>4917</v>
      </c>
      <c r="Q237" t="s">
        <v>942</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v>7740</v>
      </c>
      <c r="Q238" t="s">
        <v>941</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v>7740</v>
      </c>
      <c r="Q239" t="s">
        <v>942</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v>3252</v>
      </c>
      <c r="Q240" t="s">
        <v>940</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v>1260</v>
      </c>
      <c r="Q241" t="s">
        <v>938</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v>4392</v>
      </c>
      <c r="Q242" t="s">
        <v>940</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v>2166</v>
      </c>
      <c r="Q243" t="s">
        <v>943</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v>1008</v>
      </c>
      <c r="Q244" t="s">
        <v>943</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v>1582</v>
      </c>
      <c r="Q245" t="s">
        <v>940</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v>3790</v>
      </c>
      <c r="Q246" t="s">
        <v>943</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v>777</v>
      </c>
      <c r="Q247" t="s">
        <v>937</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v>2888</v>
      </c>
      <c r="Q248" t="s">
        <v>943</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v>4044</v>
      </c>
      <c r="Q249" t="s">
        <v>942</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v>722</v>
      </c>
      <c r="Q250" t="s">
        <v>942</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v>8960</v>
      </c>
      <c r="Q251" t="s">
        <v>938</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v>1899</v>
      </c>
      <c r="Q252" t="s">
        <v>937</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v>7692</v>
      </c>
      <c r="Q253" t="s">
        <v>942</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v>1098</v>
      </c>
      <c r="Q254" t="s">
        <v>940</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v>2168</v>
      </c>
      <c r="Q255" t="s">
        <v>937</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v>866</v>
      </c>
      <c r="Q256" t="s">
        <v>937</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v>3336</v>
      </c>
      <c r="Q257" t="s">
        <v>941</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v>4448</v>
      </c>
      <c r="Q258" t="s">
        <v>943</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v>2045</v>
      </c>
      <c r="Q259" t="s">
        <v>937</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v>2045</v>
      </c>
      <c r="Q260" t="s">
        <v>943</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v>6884</v>
      </c>
      <c r="Q261" t="s">
        <v>943</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v>5424</v>
      </c>
      <c r="Q262" t="s">
        <v>942</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v>610</v>
      </c>
      <c r="Q263" t="s">
        <v>937</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v>867</v>
      </c>
      <c r="Q264" t="s">
        <v>939</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v>289</v>
      </c>
      <c r="Q265" t="s">
        <v>939</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v>1638</v>
      </c>
      <c r="Q266" t="s">
        <v>937</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v>578</v>
      </c>
      <c r="Q267" t="s">
        <v>937</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v>4990</v>
      </c>
      <c r="Q268" t="s">
        <v>943</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v>578</v>
      </c>
      <c r="Q269" t="s">
        <v>937</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v>4448</v>
      </c>
      <c r="Q270" t="s">
        <v>937</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v>4990</v>
      </c>
      <c r="Q271" t="s">
        <v>940</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v>3276</v>
      </c>
      <c r="Q272" t="s">
        <v>940</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v>1638</v>
      </c>
      <c r="Q273" t="s">
        <v>937</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v>6884</v>
      </c>
      <c r="Q274" t="s">
        <v>937</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v>3730</v>
      </c>
      <c r="Q275" t="s">
        <v>939</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v>3730</v>
      </c>
      <c r="Q276" t="s">
        <v>937</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v>5424</v>
      </c>
      <c r="Q277" t="s">
        <v>939</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v>5424</v>
      </c>
      <c r="Q278" t="s">
        <v>940</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v>2224</v>
      </c>
      <c r="Q279" t="s">
        <v>940</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v>3423</v>
      </c>
      <c r="Q280" t="s">
        <v>938</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v>8605</v>
      </c>
      <c r="Q281" t="s">
        <v>940</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v>867</v>
      </c>
      <c r="Q282" t="s">
        <v>941</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v>1156</v>
      </c>
      <c r="Q283" t="s">
        <v>940</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v>1266</v>
      </c>
      <c r="Q284" t="s">
        <v>940</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v>1356</v>
      </c>
      <c r="Q285" t="s">
        <v>940</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v>4990</v>
      </c>
      <c r="Q286" t="s">
        <v>941</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v>5595</v>
      </c>
      <c r="Q287" t="s">
        <v>937</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v>1252</v>
      </c>
      <c r="Q288" t="s">
        <v>943</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v>1266</v>
      </c>
      <c r="Q289" t="s">
        <v>941</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v>2045</v>
      </c>
      <c r="Q290" t="s">
        <v>939</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v>2994</v>
      </c>
      <c r="Q291" t="s">
        <v>941</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v>1445</v>
      </c>
      <c r="Q292" t="s">
        <v>938</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v>289</v>
      </c>
      <c r="Q293" t="s">
        <v>943</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v>1445</v>
      </c>
      <c r="Q294" t="s">
        <v>941</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v>3756</v>
      </c>
      <c r="Q295" t="s">
        <v>942</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v>1445</v>
      </c>
      <c r="Q296" t="s">
        <v>942</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v>1141</v>
      </c>
      <c r="Q297" t="s">
        <v>938</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v>1830</v>
      </c>
      <c r="Q298" t="s">
        <v>941</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v>422</v>
      </c>
      <c r="Q299" t="s">
        <v>937</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v>5424</v>
      </c>
      <c r="Q300" t="s">
        <v>939</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v>6552</v>
      </c>
      <c r="Q301" t="s">
        <v>939</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v>8190</v>
      </c>
      <c r="Q302" t="s">
        <v>939</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v>3336</v>
      </c>
      <c r="Q303" t="s">
        <v>937</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v>2224</v>
      </c>
      <c r="Q304" t="s">
        <v>938</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v>610</v>
      </c>
      <c r="Q305" t="s">
        <v>939</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v>1688</v>
      </c>
      <c r="Q306" t="s">
        <v>939</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v>2504</v>
      </c>
      <c r="Q307" t="s">
        <v>941</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v>1156</v>
      </c>
      <c r="Q308" t="s">
        <v>939</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v>578</v>
      </c>
      <c r="Q309" t="s">
        <v>939</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v>1252</v>
      </c>
      <c r="Q310" t="s">
        <v>940</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v>5424</v>
      </c>
      <c r="Q311" t="s">
        <v>942</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v>4914</v>
      </c>
      <c r="Q312" t="s">
        <v>940</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v>1636</v>
      </c>
      <c r="Q313" t="s">
        <v>938</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v>4564</v>
      </c>
      <c r="Q314" t="s">
        <v>942</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v>1721</v>
      </c>
      <c r="Q315" t="s">
        <v>943</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v>2504</v>
      </c>
      <c r="Q316" t="s">
        <v>937</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v>5424</v>
      </c>
      <c r="Q317" t="s">
        <v>941</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v>4564</v>
      </c>
      <c r="Q318" t="s">
        <v>942</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v>5705</v>
      </c>
      <c r="Q319" t="s">
        <v>940</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v>3442</v>
      </c>
      <c r="Q320" t="s">
        <v>943</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v>5705</v>
      </c>
      <c r="Q321" t="s">
        <v>943</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v>2504</v>
      </c>
      <c r="Q322" t="s">
        <v>938</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v>4914</v>
      </c>
      <c r="Q323" t="s">
        <v>938</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v>1266</v>
      </c>
      <c r="Q324" t="s">
        <v>941</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v>610</v>
      </c>
      <c r="Q325" t="s">
        <v>941</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v>3756</v>
      </c>
      <c r="Q326" t="s">
        <v>943</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v>2504</v>
      </c>
      <c r="Q327" t="s">
        <v>942</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v>8190</v>
      </c>
      <c r="Q328" t="s">
        <v>942</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v>422</v>
      </c>
      <c r="Q329" t="s">
        <v>940</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v>1721</v>
      </c>
      <c r="Q330" t="s">
        <v>938</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v>6552</v>
      </c>
      <c r="Q331" t="s">
        <v>942</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v>1266</v>
      </c>
      <c r="Q332" t="s">
        <v>939</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v>289</v>
      </c>
      <c r="Q333" t="s">
        <v>943</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v>289</v>
      </c>
      <c r="Q334" t="s">
        <v>939</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v>1865</v>
      </c>
      <c r="Q335" t="s">
        <v>941</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v>3423</v>
      </c>
      <c r="Q336" t="s">
        <v>939</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v>6780</v>
      </c>
      <c r="Q337" t="s">
        <v>940</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v>1445</v>
      </c>
      <c r="Q338" t="s">
        <v>943</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v>422</v>
      </c>
      <c r="Q339" t="s">
        <v>938</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v>2440</v>
      </c>
      <c r="Q340" t="s">
        <v>943</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v>3423</v>
      </c>
      <c r="Q341" t="s">
        <v>942</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v>610</v>
      </c>
      <c r="Q342" t="s">
        <v>939</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v>1112</v>
      </c>
      <c r="Q343" t="s">
        <v>937</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v>409</v>
      </c>
      <c r="Q344" t="s">
        <v>940</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v>4068</v>
      </c>
      <c r="Q345" t="s">
        <v>939</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v>5705</v>
      </c>
      <c r="Q346" t="s">
        <v>943</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v>5595</v>
      </c>
      <c r="Q347" t="s">
        <v>941</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v>8605</v>
      </c>
      <c r="Q348" t="s">
        <v>939</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v>3730</v>
      </c>
      <c r="Q349" t="s">
        <v>943</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v>4448</v>
      </c>
      <c r="Q350" t="s">
        <v>941</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v>289</v>
      </c>
      <c r="Q351" t="s">
        <v>941</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v>5008</v>
      </c>
      <c r="Q352" t="s">
        <v>943</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v>2282</v>
      </c>
      <c r="Q353" t="s">
        <v>939</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v>9325</v>
      </c>
      <c r="Q354" t="s">
        <v>938</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v>1638</v>
      </c>
      <c r="Q355" t="s">
        <v>940</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v>4564</v>
      </c>
      <c r="Q356" t="s">
        <v>937</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v>409</v>
      </c>
      <c r="Q357" t="s">
        <v>939</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v>2282</v>
      </c>
      <c r="Q358" t="s">
        <v>939</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v>1865</v>
      </c>
      <c r="Q359" t="s">
        <v>942</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v>289</v>
      </c>
      <c r="Q360" t="s">
        <v>939</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v>1865</v>
      </c>
      <c r="Q361" t="s">
        <v>942</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v>8190</v>
      </c>
      <c r="Q362" t="s">
        <v>940</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v>8605</v>
      </c>
      <c r="Q363" t="s">
        <v>943</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v>867</v>
      </c>
      <c r="Q364" t="s">
        <v>940</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v>1445</v>
      </c>
      <c r="Q365" t="s">
        <v>942</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v>1112</v>
      </c>
      <c r="Q366" t="s">
        <v>941</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v>3423</v>
      </c>
      <c r="Q367" t="s">
        <v>941</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v>4448</v>
      </c>
      <c r="Q368" t="s">
        <v>942</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v>2282</v>
      </c>
      <c r="Q369" t="s">
        <v>940</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v>1141</v>
      </c>
      <c r="Q370" t="s">
        <v>940</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v>2994</v>
      </c>
      <c r="Q371" t="s">
        <v>941</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v>1865</v>
      </c>
      <c r="Q372" t="s">
        <v>941</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v>867</v>
      </c>
      <c r="Q373" t="s">
        <v>937</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v>5163</v>
      </c>
      <c r="Q374" t="s">
        <v>942</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v>1252</v>
      </c>
      <c r="Q375" t="s">
        <v>939</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v>1356</v>
      </c>
      <c r="Q376" t="s">
        <v>943</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v>2282</v>
      </c>
      <c r="Q377" t="s">
        <v>938</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v>1638</v>
      </c>
      <c r="Q378" t="s">
        <v>943</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v>2712</v>
      </c>
      <c r="Q379" t="s">
        <v>937</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v>3276</v>
      </c>
      <c r="Q380" t="s">
        <v>940</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v>7112</v>
      </c>
      <c r="Q381" t="s">
        <v>940</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v>2192</v>
      </c>
      <c r="Q382" t="s">
        <v>940</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v>3210</v>
      </c>
      <c r="Q383" t="s">
        <v>942</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v>1605</v>
      </c>
      <c r="Q384" t="s">
        <v>942</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v>8025</v>
      </c>
      <c r="Q385" t="s">
        <v>940</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v>8025</v>
      </c>
      <c r="Q386" t="s">
        <v>940</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v>7805</v>
      </c>
      <c r="Q387" t="s">
        <v>937</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v>5340</v>
      </c>
      <c r="Q388" t="s">
        <v>939</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v>2192</v>
      </c>
      <c r="Q389" t="s">
        <v>938</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v>2433</v>
      </c>
      <c r="Q390" t="s">
        <v>940</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v>4055</v>
      </c>
      <c r="Q391" t="s">
        <v>942</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v>2740</v>
      </c>
      <c r="Q392" t="s">
        <v>937</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v>5712</v>
      </c>
      <c r="Q393" t="s">
        <v>940</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v>3808</v>
      </c>
      <c r="Q394" t="s">
        <v>943</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v>9390</v>
      </c>
      <c r="Q395" t="s">
        <v>940</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v>7616</v>
      </c>
      <c r="Q396" t="s">
        <v>943</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v>8025</v>
      </c>
      <c r="Q397" t="s">
        <v>942</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v>6688</v>
      </c>
      <c r="Q398" t="s">
        <v>940</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v>7112</v>
      </c>
      <c r="Q399" t="s">
        <v>941</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v>1335</v>
      </c>
      <c r="Q400" t="s">
        <v>943</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v>5634</v>
      </c>
      <c r="Q401" t="s">
        <v>940</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v>5634</v>
      </c>
      <c r="Q402" t="s">
        <v>943</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v>5334</v>
      </c>
      <c r="Q403" t="s">
        <v>942</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v>7512</v>
      </c>
      <c r="Q404" t="s">
        <v>937</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v>1904</v>
      </c>
      <c r="Q405" t="s">
        <v>937</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v>1644</v>
      </c>
      <c r="Q406" t="s">
        <v>942</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v>1561</v>
      </c>
      <c r="Q407" t="s">
        <v>938</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v>4683</v>
      </c>
      <c r="Q408" t="s">
        <v>942</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v>7805</v>
      </c>
      <c r="Q409" t="s">
        <v>942</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v>6675</v>
      </c>
      <c r="Q410" t="s">
        <v>938</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v>2670</v>
      </c>
      <c r="Q411" t="s">
        <v>941</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v>1605</v>
      </c>
      <c r="Q412" t="s">
        <v>942</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v>1878</v>
      </c>
      <c r="Q413" t="s">
        <v>940</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v>2740</v>
      </c>
      <c r="Q414" t="s">
        <v>939</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v>4005</v>
      </c>
      <c r="Q415" t="s">
        <v>940</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v>1622</v>
      </c>
      <c r="Q416" t="s">
        <v>943</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v>1672</v>
      </c>
      <c r="Q417" t="s">
        <v>941</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v>1672</v>
      </c>
      <c r="Q418" t="s">
        <v>940</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v>4683</v>
      </c>
      <c r="Q419" t="s">
        <v>940</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v>3210</v>
      </c>
      <c r="Q420" t="s">
        <v>940</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v>8890</v>
      </c>
      <c r="Q421" t="s">
        <v>942</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v>2670</v>
      </c>
      <c r="Q422" t="s">
        <v>942</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v>1778</v>
      </c>
      <c r="Q423" t="s">
        <v>938</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v>3808</v>
      </c>
      <c r="Q424" t="s">
        <v>941</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v>1904</v>
      </c>
      <c r="Q425" t="s">
        <v>940</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v>7616</v>
      </c>
      <c r="Q426" t="s">
        <v>937</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v>8025</v>
      </c>
      <c r="Q427" t="s">
        <v>942</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v>7805</v>
      </c>
      <c r="Q428" t="s">
        <v>942</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v>7616</v>
      </c>
      <c r="Q429" t="s">
        <v>939</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v>4055</v>
      </c>
      <c r="Q430" t="s">
        <v>942</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v>5634</v>
      </c>
      <c r="Q431" t="s">
        <v>943</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v>3344</v>
      </c>
      <c r="Q432" t="s">
        <v>940</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v>8025</v>
      </c>
      <c r="Q433" t="s">
        <v>942</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v>1096</v>
      </c>
      <c r="Q434" t="s">
        <v>940</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v>6688</v>
      </c>
      <c r="Q435" t="s">
        <v>942</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v>1904</v>
      </c>
      <c r="Q436" t="s">
        <v>943</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v>2670</v>
      </c>
      <c r="Q437" t="s">
        <v>937</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v>1096</v>
      </c>
      <c r="Q438" t="s">
        <v>941</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v>9520</v>
      </c>
      <c r="Q439" t="s">
        <v>938</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v>1672</v>
      </c>
      <c r="Q440" t="s">
        <v>941</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v>1622</v>
      </c>
      <c r="Q441" t="s">
        <v>941</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v>6244</v>
      </c>
      <c r="Q442" t="s">
        <v>941</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v>3756</v>
      </c>
      <c r="Q443" t="s">
        <v>942</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v>811</v>
      </c>
      <c r="Q444" t="s">
        <v>940</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v>1335</v>
      </c>
      <c r="Q445" t="s">
        <v>942</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v>7616</v>
      </c>
      <c r="Q446" t="s">
        <v>940</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v>1644</v>
      </c>
      <c r="Q447" t="s">
        <v>940</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v>3756</v>
      </c>
      <c r="Q448" t="s">
        <v>939</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v>8890</v>
      </c>
      <c r="Q449" t="s">
        <v>942</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v>2433</v>
      </c>
      <c r="Q450" t="s">
        <v>939</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v>8025</v>
      </c>
      <c r="Q451" t="s">
        <v>940</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v>1878</v>
      </c>
      <c r="Q452" t="s">
        <v>942</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v>5634</v>
      </c>
      <c r="Q453" t="s">
        <v>942</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v>3344</v>
      </c>
      <c r="Q454" t="s">
        <v>941</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v>6688</v>
      </c>
      <c r="Q455" t="s">
        <v>940</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v>2670</v>
      </c>
      <c r="Q456" t="s">
        <v>938</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v>9390</v>
      </c>
      <c r="Q457" t="s">
        <v>940</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v>1335</v>
      </c>
      <c r="Q458" t="s">
        <v>941</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v>9520</v>
      </c>
      <c r="Q459" t="s">
        <v>941</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v>3556</v>
      </c>
      <c r="Q460" t="s">
        <v>942</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v>5334</v>
      </c>
      <c r="Q461" t="s">
        <v>939</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v>5634</v>
      </c>
      <c r="Q462" t="s">
        <v>940</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v>8360</v>
      </c>
      <c r="Q463" t="s">
        <v>942</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v>8890</v>
      </c>
      <c r="Q464" t="s">
        <v>940</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v>3344</v>
      </c>
      <c r="Q465" t="s">
        <v>939</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v>2433</v>
      </c>
      <c r="Q466" t="s">
        <v>938</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v>7805</v>
      </c>
      <c r="Q467" t="s">
        <v>939</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v>3122</v>
      </c>
      <c r="Q468" t="s">
        <v>941</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v>3756</v>
      </c>
      <c r="Q469" t="s">
        <v>942</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v>4683</v>
      </c>
      <c r="Q470" t="s">
        <v>942</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v>3808</v>
      </c>
      <c r="Q471" t="s">
        <v>941</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v>1644</v>
      </c>
      <c r="Q472" t="s">
        <v>938</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v>5634</v>
      </c>
      <c r="Q473" t="s">
        <v>942</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v>6688</v>
      </c>
      <c r="Q474" t="s">
        <v>938</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v>7616</v>
      </c>
      <c r="Q475" t="s">
        <v>942</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v>8360</v>
      </c>
      <c r="Q476" t="s">
        <v>942</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v>2670</v>
      </c>
      <c r="Q477" t="s">
        <v>941</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v>811</v>
      </c>
      <c r="Q478" t="s">
        <v>942</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v>4055</v>
      </c>
      <c r="Q479" t="s">
        <v>939</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v>8360</v>
      </c>
      <c r="Q480" t="s">
        <v>938</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v>8360</v>
      </c>
      <c r="Q481" t="s">
        <v>943</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v>3556</v>
      </c>
      <c r="Q482" t="s">
        <v>939</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v>3210</v>
      </c>
      <c r="Q483" t="s">
        <v>937</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v>9520</v>
      </c>
      <c r="Q484" t="s">
        <v>941</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v>1605</v>
      </c>
      <c r="Q485" t="s">
        <v>939</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v>5016</v>
      </c>
      <c r="Q486" t="s">
        <v>943</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v>3210</v>
      </c>
      <c r="Q487" t="s">
        <v>942</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v>3122</v>
      </c>
      <c r="Q488" t="s">
        <v>941</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v>9520</v>
      </c>
      <c r="Q489" t="s">
        <v>942</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v>5634</v>
      </c>
      <c r="Q490" t="s">
        <v>942</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v>5634</v>
      </c>
      <c r="Q491" t="s">
        <v>940</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v>1605</v>
      </c>
      <c r="Q492" t="s">
        <v>942</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v>6244</v>
      </c>
      <c r="Q493" t="s">
        <v>938</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v>3122</v>
      </c>
      <c r="Q494" t="s">
        <v>940</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v>7512</v>
      </c>
      <c r="Q495" t="s">
        <v>937</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v>6675</v>
      </c>
      <c r="Q496" t="s">
        <v>942</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v>7112</v>
      </c>
      <c r="Q497" t="s">
        <v>941</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v>3756</v>
      </c>
      <c r="Q498" t="s">
        <v>942</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v>5016</v>
      </c>
      <c r="Q499" t="s">
        <v>941</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v>6675</v>
      </c>
      <c r="Q500" t="s">
        <v>939</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v>2192</v>
      </c>
      <c r="Q501" t="s">
        <v>942</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v>8890</v>
      </c>
      <c r="Q502" t="s">
        <v>942</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v>7616</v>
      </c>
      <c r="Q503" t="s">
        <v>937</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v>6420</v>
      </c>
      <c r="Q504" t="s">
        <v>942</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v>2740</v>
      </c>
      <c r="Q505" t="s">
        <v>942</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v>2740</v>
      </c>
      <c r="Q506" t="s">
        <v>940</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v>2433</v>
      </c>
      <c r="Q507" t="s">
        <v>942</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v>6420</v>
      </c>
      <c r="Q508" t="s">
        <v>940</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v>6675</v>
      </c>
      <c r="Q509" t="s">
        <v>942</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v>3210</v>
      </c>
      <c r="Q510" t="s">
        <v>939</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v>6420</v>
      </c>
      <c r="Q511" t="s">
        <v>941</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v>2192</v>
      </c>
      <c r="Q512" t="s">
        <v>939</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v>5232</v>
      </c>
      <c r="Q513" t="s">
        <v>937</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v>2598</v>
      </c>
      <c r="Q514" t="s">
        <v>939</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v>9615</v>
      </c>
      <c r="Q515" t="s">
        <v>940</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v>1036</v>
      </c>
      <c r="Q516" t="s">
        <v>941</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v>6976</v>
      </c>
      <c r="Q517" t="s">
        <v>938</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v>1502</v>
      </c>
      <c r="Q518" t="s">
        <v>937</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v>1070</v>
      </c>
      <c r="Q519" t="s">
        <v>940</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v>4330</v>
      </c>
      <c r="Q520" t="s">
        <v>938</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v>562</v>
      </c>
      <c r="Q521" t="s">
        <v>941</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v>1899</v>
      </c>
      <c r="Q522" t="s">
        <v>943</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v>3004</v>
      </c>
      <c r="Q523" t="s">
        <v>942</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v>1639</v>
      </c>
      <c r="Q524" t="s">
        <v>942</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v>1686</v>
      </c>
      <c r="Q525" t="s">
        <v>940</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v>5697</v>
      </c>
      <c r="Q526" t="s">
        <v>937</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v>4044</v>
      </c>
      <c r="Q527" t="s">
        <v>941</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v>2248</v>
      </c>
      <c r="Q528" t="s">
        <v>942</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v>3360</v>
      </c>
      <c r="Q529" t="s">
        <v>941</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v>259</v>
      </c>
      <c r="Q530" t="s">
        <v>941</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v>697</v>
      </c>
      <c r="Q531" t="s">
        <v>941</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v>722</v>
      </c>
      <c r="Q532" t="s">
        <v>942</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v>2888</v>
      </c>
      <c r="Q533" t="s">
        <v>937</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v>774</v>
      </c>
      <c r="Q534" t="s">
        <v>942</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v>774</v>
      </c>
      <c r="Q535" t="s">
        <v>939</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v>2140</v>
      </c>
      <c r="Q536" t="s">
        <v>938</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v>2976</v>
      </c>
      <c r="Q537" t="s">
        <v>939</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v>5769</v>
      </c>
      <c r="Q538" t="s">
        <v>937</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v>5685</v>
      </c>
      <c r="Q539" t="s">
        <v>942</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v>7910</v>
      </c>
      <c r="Q540" t="s">
        <v>941</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v>7440</v>
      </c>
      <c r="Q541" t="s">
        <v>943</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v>1792</v>
      </c>
      <c r="Q542" t="s">
        <v>942</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v>609</v>
      </c>
      <c r="Q543" t="s">
        <v>938</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v>6976</v>
      </c>
      <c r="Q544" t="s">
        <v>938</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v>1895</v>
      </c>
      <c r="Q545" t="s">
        <v>943</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v>7580</v>
      </c>
      <c r="Q546" t="s">
        <v>940</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v>1686</v>
      </c>
      <c r="Q547" t="s">
        <v>937</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v>5805</v>
      </c>
      <c r="Q548" t="s">
        <v>942</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v>3610</v>
      </c>
      <c r="Q549" t="s">
        <v>942</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v>810</v>
      </c>
      <c r="Q550" t="s">
        <v>942</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v>1582</v>
      </c>
      <c r="Q551" t="s">
        <v>940</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v>518</v>
      </c>
      <c r="Q552" t="s">
        <v>938</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v>4392</v>
      </c>
      <c r="Q553" t="s">
        <v>939</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v>2196</v>
      </c>
      <c r="Q554" t="s">
        <v>943</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v>1260</v>
      </c>
      <c r="Q555" t="s">
        <v>938</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v>1915</v>
      </c>
      <c r="Q556" t="s">
        <v>941</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v>3798</v>
      </c>
      <c r="Q557" t="s">
        <v>941</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v>1015</v>
      </c>
      <c r="Q558" t="s">
        <v>939</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v>1502</v>
      </c>
      <c r="Q559" t="s">
        <v>942</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v>2976</v>
      </c>
      <c r="Q560" t="s">
        <v>941</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v>3606</v>
      </c>
      <c r="Q561" t="s">
        <v>938</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v>406</v>
      </c>
      <c r="Q562" t="s">
        <v>939</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v>9495</v>
      </c>
      <c r="Q563" t="s">
        <v>942</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v>4336</v>
      </c>
      <c r="Q564" t="s">
        <v>942</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v>3608</v>
      </c>
      <c r="Q565" t="s">
        <v>941</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v>1605</v>
      </c>
      <c r="Q566" t="s">
        <v>941</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v>4336</v>
      </c>
      <c r="Q567" t="s">
        <v>938</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v>1374</v>
      </c>
      <c r="Q568" t="s">
        <v>940</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v>7596</v>
      </c>
      <c r="Q569" t="s">
        <v>938</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v>1899</v>
      </c>
      <c r="Q570" t="s">
        <v>938</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v>3360</v>
      </c>
      <c r="Q571" t="s">
        <v>937</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v>5088</v>
      </c>
      <c r="Q572" t="s">
        <v>942</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v>2168</v>
      </c>
      <c r="Q573" t="s">
        <v>938</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v>1935</v>
      </c>
      <c r="Q574" t="s">
        <v>937</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v>7692</v>
      </c>
      <c r="Q575" t="s">
        <v>938</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v>4336</v>
      </c>
      <c r="Q576" t="s">
        <v>943</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v>5952</v>
      </c>
      <c r="Q577" t="s">
        <v>942</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v>1744</v>
      </c>
      <c r="Q578" t="s">
        <v>937</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v>3294</v>
      </c>
      <c r="Q579" t="s">
        <v>940</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v>3252</v>
      </c>
      <c r="Q580" t="s">
        <v>942</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v>5496</v>
      </c>
      <c r="Q581" t="s">
        <v>939</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v>697</v>
      </c>
      <c r="Q582" t="s">
        <v>943</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v>7596</v>
      </c>
      <c r="Q583" t="s">
        <v>937</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v>3870</v>
      </c>
      <c r="Q584" t="s">
        <v>939</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v>3954</v>
      </c>
      <c r="Q585" t="s">
        <v>942</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v>7908</v>
      </c>
      <c r="Q586" t="s">
        <v>943</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v>2250</v>
      </c>
      <c r="Q587" t="s">
        <v>938</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v>750</v>
      </c>
      <c r="Q588" t="s">
        <v>943</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v>1500</v>
      </c>
      <c r="Q589" t="s">
        <v>943</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v>750</v>
      </c>
      <c r="Q590" t="s">
        <v>937</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v>827</v>
      </c>
      <c r="Q591" t="s">
        <v>938</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v>1654</v>
      </c>
      <c r="Q592" t="s">
        <v>937</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v>4284</v>
      </c>
      <c r="Q593" t="s">
        <v>937</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v>1732</v>
      </c>
      <c r="Q594" t="s">
        <v>943</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v>1588</v>
      </c>
      <c r="Q595" t="s">
        <v>938</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v>1199</v>
      </c>
      <c r="Q596" t="s">
        <v>943</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v>5931</v>
      </c>
      <c r="Q597" t="s">
        <v>943</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v>1977</v>
      </c>
      <c r="Q598" t="s">
        <v>939</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v>3954</v>
      </c>
      <c r="Q599" t="s">
        <v>941</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v>3597</v>
      </c>
      <c r="Q600" t="s">
        <v>941</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v>4284</v>
      </c>
      <c r="Q601" t="s">
        <v>937</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v>3597</v>
      </c>
      <c r="Q602" t="s">
        <v>937</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v>3308</v>
      </c>
      <c r="Q603" t="s">
        <v>943</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v>3750</v>
      </c>
      <c r="Q604" t="s">
        <v>939</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v>750</v>
      </c>
      <c r="Q605" t="s">
        <v>939</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v>2250</v>
      </c>
      <c r="Q606" t="s">
        <v>943</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v>3597</v>
      </c>
      <c r="Q607" t="s">
        <v>942</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v>5712</v>
      </c>
      <c r="Q608" t="s">
        <v>937</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v>3597</v>
      </c>
      <c r="Q609" t="s">
        <v>939</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v>1299</v>
      </c>
      <c r="Q610" t="s">
        <v>943</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v>4135</v>
      </c>
      <c r="Q611" t="s">
        <v>943</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v>7140</v>
      </c>
      <c r="Q612" t="s">
        <v>938</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v>5995</v>
      </c>
      <c r="Q613" t="s">
        <v>941</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v>4284</v>
      </c>
      <c r="Q614" t="s">
        <v>941</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v>9885</v>
      </c>
      <c r="Q615" t="s">
        <v>943</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v>3954</v>
      </c>
      <c r="Q616" t="s">
        <v>937</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v>3308</v>
      </c>
      <c r="Q617" t="s">
        <v>939</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v>3000</v>
      </c>
      <c r="Q618" t="s">
        <v>940</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v>9885</v>
      </c>
      <c r="Q619" t="s">
        <v>937</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v>3176</v>
      </c>
      <c r="Q620" t="s">
        <v>937</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v>1977</v>
      </c>
      <c r="Q621" t="s">
        <v>941</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v>2250</v>
      </c>
      <c r="Q622" t="s">
        <v>938</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v>1199</v>
      </c>
      <c r="Q623" t="s">
        <v>942</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v>3308</v>
      </c>
      <c r="Q624" t="s">
        <v>938</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v>1428</v>
      </c>
      <c r="Q625" t="s">
        <v>941</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v>2398</v>
      </c>
      <c r="Q626" t="s">
        <v>940</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v>5995</v>
      </c>
      <c r="Q627" t="s">
        <v>943</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v>433</v>
      </c>
      <c r="Q628" t="s">
        <v>940</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v>2165</v>
      </c>
      <c r="Q629" t="s">
        <v>939</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v>2481</v>
      </c>
      <c r="Q630" t="s">
        <v>943</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v>4135</v>
      </c>
      <c r="Q631" t="s">
        <v>937</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v>3000</v>
      </c>
      <c r="Q632" t="s">
        <v>941</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v>1977</v>
      </c>
      <c r="Q633" t="s">
        <v>940</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v>4135</v>
      </c>
      <c r="Q634" t="s">
        <v>943</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v>750</v>
      </c>
      <c r="Q635" t="s">
        <v>943</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v>4284</v>
      </c>
      <c r="Q636" t="s">
        <v>937</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v>3750</v>
      </c>
      <c r="Q637" t="s">
        <v>943</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v>5995</v>
      </c>
      <c r="Q638" t="s">
        <v>939</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v>3970</v>
      </c>
      <c r="Q639" t="s">
        <v>938</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v>3308</v>
      </c>
      <c r="Q640" t="s">
        <v>940</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v>4796</v>
      </c>
      <c r="Q641" t="s">
        <v>938</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v>2856</v>
      </c>
      <c r="Q642" t="s">
        <v>938</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v>3970</v>
      </c>
      <c r="Q643" t="s">
        <v>943</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v>5931</v>
      </c>
      <c r="Q644" t="s">
        <v>940</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v>2250</v>
      </c>
      <c r="Q645" t="s">
        <v>943</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v>2382</v>
      </c>
      <c r="Q646" t="s">
        <v>937</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v>3970</v>
      </c>
      <c r="Q647" t="s">
        <v>942</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v>7140</v>
      </c>
      <c r="Q648" t="s">
        <v>937</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v>866</v>
      </c>
      <c r="Q649" t="s">
        <v>943</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v>2165</v>
      </c>
      <c r="Q650" t="s">
        <v>941</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v>5995</v>
      </c>
      <c r="Q651" t="s">
        <v>937</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v>9885</v>
      </c>
      <c r="Q652" t="s">
        <v>942</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v>827</v>
      </c>
      <c r="Q653" t="s">
        <v>939</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v>4284</v>
      </c>
      <c r="Q654" t="s">
        <v>938</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v>2398</v>
      </c>
      <c r="Q655" t="s">
        <v>943</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v>794</v>
      </c>
      <c r="Q656" t="s">
        <v>942</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v>827</v>
      </c>
      <c r="Q657" t="s">
        <v>941</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v>2165</v>
      </c>
      <c r="Q658" t="s">
        <v>943</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v>3954</v>
      </c>
      <c r="Q659" t="s">
        <v>939</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v>750</v>
      </c>
      <c r="Q660" t="s">
        <v>943</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v>1500</v>
      </c>
      <c r="Q661" t="s">
        <v>943</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v>9885</v>
      </c>
      <c r="Q662" t="s">
        <v>943</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v>4135</v>
      </c>
      <c r="Q663" t="s">
        <v>939</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v>3970</v>
      </c>
      <c r="Q664" t="s">
        <v>938</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v>3176</v>
      </c>
      <c r="Q665" t="s">
        <v>942</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v>1588</v>
      </c>
      <c r="Q666" t="s">
        <v>937</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v>3176</v>
      </c>
      <c r="Q667" t="s">
        <v>938</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v>750</v>
      </c>
      <c r="Q668" t="s">
        <v>939</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v>433</v>
      </c>
      <c r="Q669" t="s">
        <v>943</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v>3750</v>
      </c>
      <c r="Q670" t="s">
        <v>940</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v>4796</v>
      </c>
      <c r="Q671" t="s">
        <v>941</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v>2398</v>
      </c>
      <c r="Q672" t="s">
        <v>939</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v>3000</v>
      </c>
      <c r="Q673" t="s">
        <v>939</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v>3000</v>
      </c>
      <c r="Q674" t="s">
        <v>943</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v>2382</v>
      </c>
      <c r="Q675" t="s">
        <v>943</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v>1299</v>
      </c>
      <c r="Q676" t="s">
        <v>940</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v>3597</v>
      </c>
      <c r="Q677" t="s">
        <v>939</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v>2250</v>
      </c>
      <c r="Q678" t="s">
        <v>943</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v>794</v>
      </c>
      <c r="Q679" t="s">
        <v>941</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v>2888</v>
      </c>
      <c r="Q680" t="s">
        <v>938</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v>6556</v>
      </c>
      <c r="Q681" t="s">
        <v>942</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v>5232</v>
      </c>
      <c r="Q682" t="s">
        <v>942</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v>5232</v>
      </c>
      <c r="Q683" t="s">
        <v>939</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v>5232</v>
      </c>
      <c r="Q684" t="s">
        <v>940</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v>5420</v>
      </c>
      <c r="Q685" t="s">
        <v>941</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v>5412</v>
      </c>
      <c r="Q686" t="s">
        <v>940</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v>3790</v>
      </c>
      <c r="Q687" t="s">
        <v>943</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v>1548</v>
      </c>
      <c r="Q688" t="s">
        <v>941</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v>1548</v>
      </c>
      <c r="Q689" t="s">
        <v>938</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v>8720</v>
      </c>
      <c r="Q690" t="s">
        <v>942</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v>3252</v>
      </c>
      <c r="Q691" t="s">
        <v>939</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v>5420</v>
      </c>
      <c r="Q692" t="s">
        <v>938</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v>4332</v>
      </c>
      <c r="Q693" t="s">
        <v>939</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v>1804</v>
      </c>
      <c r="Q694" t="s">
        <v>939</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v>8195</v>
      </c>
      <c r="Q695" t="s">
        <v>941</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v>9020</v>
      </c>
      <c r="Q696" t="s">
        <v>940</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v>7216</v>
      </c>
      <c r="Q697" t="s">
        <v>942</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v>9675</v>
      </c>
      <c r="Q698" t="s">
        <v>939</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v>3870</v>
      </c>
      <c r="Q699" t="s">
        <v>942</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v>7740</v>
      </c>
      <c r="Q700" t="s">
        <v>941</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v>774</v>
      </c>
      <c r="Q701" t="s">
        <v>937</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v>1084</v>
      </c>
      <c r="Q702" t="s">
        <v>940</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v>1935</v>
      </c>
      <c r="Q703" t="s">
        <v>941</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v>3790</v>
      </c>
      <c r="Q704" t="s">
        <v>938</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v>5776</v>
      </c>
      <c r="Q705" t="s">
        <v>940</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v>3870</v>
      </c>
      <c r="Q706" t="s">
        <v>940</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v>6556</v>
      </c>
      <c r="Q707" t="s">
        <v>939</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v>7740</v>
      </c>
      <c r="Q708" t="s">
        <v>938</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v>1935</v>
      </c>
      <c r="Q709" t="s">
        <v>937</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v>3870</v>
      </c>
      <c r="Q710" t="s">
        <v>939</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v>8195</v>
      </c>
      <c r="Q711" t="s">
        <v>937</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v>2888</v>
      </c>
      <c r="Q712" t="s">
        <v>942</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v>6976</v>
      </c>
      <c r="Q713" t="s">
        <v>939</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v>9675</v>
      </c>
      <c r="Q714" t="s">
        <v>939</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v>1084</v>
      </c>
      <c r="Q715" t="s">
        <v>943</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v>8195</v>
      </c>
      <c r="Q716" t="s">
        <v>937</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v>3278</v>
      </c>
      <c r="Q717" t="s">
        <v>938</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v>5232</v>
      </c>
      <c r="Q718" t="s">
        <v>942</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v>6556</v>
      </c>
      <c r="Q719" t="s">
        <v>938</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v>5412</v>
      </c>
      <c r="Q720" t="s">
        <v>938</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v>6976</v>
      </c>
      <c r="Q721" t="s">
        <v>939</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v>6740</v>
      </c>
      <c r="Q722" t="s">
        <v>938</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v>5412</v>
      </c>
      <c r="Q723" t="s">
        <v>943</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v>1161</v>
      </c>
      <c r="Q724" t="s">
        <v>942</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v>4332</v>
      </c>
      <c r="Q725" t="s">
        <v>942</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v>1084</v>
      </c>
      <c r="Q726" t="s">
        <v>942</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v>387</v>
      </c>
      <c r="Q727" t="s">
        <v>940</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v>3278</v>
      </c>
      <c r="Q728" t="s">
        <v>937</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v>7216</v>
      </c>
      <c r="Q729" t="s">
        <v>940</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v>9020</v>
      </c>
      <c r="Q730" t="s">
        <v>940</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v>1639</v>
      </c>
      <c r="Q731" t="s">
        <v>939</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v>7740</v>
      </c>
      <c r="Q732" t="s">
        <v>939</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v>9475</v>
      </c>
      <c r="Q733" t="s">
        <v>942</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v>2696</v>
      </c>
      <c r="Q734" t="s">
        <v>943</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v>8195</v>
      </c>
      <c r="Q735" t="s">
        <v>939</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v>1084</v>
      </c>
      <c r="Q736" t="s">
        <v>937</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v>3870</v>
      </c>
      <c r="Q737" t="s">
        <v>941</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v>4336</v>
      </c>
      <c r="Q738" t="s">
        <v>937</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v>7740</v>
      </c>
      <c r="Q739" t="s">
        <v>940</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v>1548</v>
      </c>
      <c r="Q740" t="s">
        <v>937</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v>9475</v>
      </c>
      <c r="Q741" t="s">
        <v>937</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v>6556</v>
      </c>
      <c r="Q742" t="s">
        <v>942</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v>2168</v>
      </c>
      <c r="Q743" t="s">
        <v>937</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v>6976</v>
      </c>
      <c r="Q744" t="s">
        <v>942</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v>1084</v>
      </c>
      <c r="Q745" t="s">
        <v>941</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v>3252</v>
      </c>
      <c r="Q746" t="s">
        <v>940</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v>3488</v>
      </c>
      <c r="Q747" t="s">
        <v>942</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v>3252</v>
      </c>
      <c r="Q748" t="s">
        <v>943</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v>1348</v>
      </c>
      <c r="Q749" t="s">
        <v>940</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v>2696</v>
      </c>
      <c r="Q750" t="s">
        <v>939</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v>6556</v>
      </c>
      <c r="Q751" t="s">
        <v>941</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v>1804</v>
      </c>
      <c r="Q752" t="s">
        <v>940</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v>2696</v>
      </c>
      <c r="Q753" t="s">
        <v>940</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v>1084</v>
      </c>
      <c r="Q754" t="s">
        <v>937</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v>1161</v>
      </c>
      <c r="Q755" t="s">
        <v>941</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v>7216</v>
      </c>
      <c r="Q756" t="s">
        <v>943</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v>5685</v>
      </c>
      <c r="Q757" t="s">
        <v>938</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v>3488</v>
      </c>
      <c r="Q758" t="s">
        <v>941</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v>9575</v>
      </c>
      <c r="Q759" t="s">
        <v>941</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v>1915</v>
      </c>
      <c r="Q760" t="s">
        <v>941</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v>1444</v>
      </c>
      <c r="Q761" t="s">
        <v>941</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v>1295</v>
      </c>
      <c r="Q762" t="s">
        <v>939</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v>518</v>
      </c>
      <c r="Q763" t="s">
        <v>943</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v>1686</v>
      </c>
      <c r="Q764" t="s">
        <v>938</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v>203</v>
      </c>
      <c r="Q765" t="s">
        <v>939</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v>3905</v>
      </c>
      <c r="Q766" t="s">
        <v>941</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v>2140</v>
      </c>
      <c r="Q767" t="s">
        <v>941</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v>3464</v>
      </c>
      <c r="Q768" t="s">
        <v>941</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v>3464</v>
      </c>
      <c r="Q769" t="s">
        <v>941</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v>777</v>
      </c>
      <c r="Q770" t="s">
        <v>937</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v>1582</v>
      </c>
      <c r="Q771" t="s">
        <v>939</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v>2675</v>
      </c>
      <c r="Q772" t="s">
        <v>942</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v>562</v>
      </c>
      <c r="Q773" t="s">
        <v>940</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v>1295</v>
      </c>
      <c r="Q774" t="s">
        <v>937</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v>1605</v>
      </c>
      <c r="Q775" t="s">
        <v>942</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v>609</v>
      </c>
      <c r="Q776" t="s">
        <v>939</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v>9575</v>
      </c>
      <c r="Q777" t="s">
        <v>942</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v>781</v>
      </c>
      <c r="Q778" t="s">
        <v>940</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v>1605</v>
      </c>
      <c r="Q779" t="s">
        <v>943</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v>1015</v>
      </c>
      <c r="Q780" t="s">
        <v>943</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v>1036</v>
      </c>
      <c r="Q781" t="s">
        <v>941</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v>3905</v>
      </c>
      <c r="Q782" t="s">
        <v>940</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v>1732</v>
      </c>
      <c r="Q783" t="s">
        <v>943</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v>7168</v>
      </c>
      <c r="Q784" t="s">
        <v>940</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v>3830</v>
      </c>
      <c r="Q785" t="s">
        <v>939</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v>2140</v>
      </c>
      <c r="Q786" t="s">
        <v>941</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v>3830</v>
      </c>
      <c r="Q787" t="s">
        <v>940</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v>1444</v>
      </c>
      <c r="Q788" t="s">
        <v>938</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v>203</v>
      </c>
      <c r="Q789" t="s">
        <v>939</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v>203</v>
      </c>
      <c r="Q790" t="s">
        <v>938</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v>1015</v>
      </c>
      <c r="Q791" t="s">
        <v>939</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v>781</v>
      </c>
      <c r="Q792" t="s">
        <v>941</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v>4330</v>
      </c>
      <c r="Q793" t="s">
        <v>937</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v>1605</v>
      </c>
      <c r="Q794" t="s">
        <v>942</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v>1686</v>
      </c>
      <c r="Q795" t="s">
        <v>939</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v>2888</v>
      </c>
      <c r="Q796" t="s">
        <v>939</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v>259</v>
      </c>
      <c r="Q797" t="s">
        <v>940</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v>1915</v>
      </c>
      <c r="Q798" t="s">
        <v>937</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v>518</v>
      </c>
      <c r="Q799" t="s">
        <v>940</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v>535</v>
      </c>
      <c r="Q800" t="s">
        <v>937</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v>2166</v>
      </c>
      <c r="Q801" t="s">
        <v>940</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v>1582</v>
      </c>
      <c r="Q802" t="s">
        <v>939</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v>535</v>
      </c>
      <c r="Q803" t="s">
        <v>940</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v>7660</v>
      </c>
      <c r="Q804" t="s">
        <v>943</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v>518</v>
      </c>
      <c r="Q805" t="s">
        <v>938</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v>2598</v>
      </c>
      <c r="Q806" t="s">
        <v>940</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v>3584</v>
      </c>
      <c r="Q807" t="s">
        <v>938</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v>2343</v>
      </c>
      <c r="Q808" t="s">
        <v>940</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v>2343</v>
      </c>
      <c r="Q809" t="s">
        <v>938</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v>535</v>
      </c>
      <c r="Q810" t="s">
        <v>942</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v>2166</v>
      </c>
      <c r="Q811" t="s">
        <v>939</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v>535</v>
      </c>
      <c r="Q812" t="s">
        <v>940</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v>9575</v>
      </c>
      <c r="Q813" t="s">
        <v>937</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v>2166</v>
      </c>
      <c r="Q814" t="s">
        <v>940</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v>9575</v>
      </c>
      <c r="Q815" t="s">
        <v>939</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v>5745</v>
      </c>
      <c r="Q816" t="s">
        <v>942</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v>2675</v>
      </c>
      <c r="Q817" t="s">
        <v>943</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v>722</v>
      </c>
      <c r="Q818" t="s">
        <v>942</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v>259</v>
      </c>
      <c r="Q819" t="s">
        <v>943</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v>3124</v>
      </c>
      <c r="Q820" t="s">
        <v>941</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v>2140</v>
      </c>
      <c r="Q821" t="s">
        <v>939</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v>1562</v>
      </c>
      <c r="Q822" t="s">
        <v>940</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v>1444</v>
      </c>
      <c r="Q823" t="s">
        <v>943</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v>7168</v>
      </c>
      <c r="Q824" t="s">
        <v>943</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v>4746</v>
      </c>
      <c r="Q825" t="s">
        <v>940</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v>535</v>
      </c>
      <c r="Q826" t="s">
        <v>939</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v>2810</v>
      </c>
      <c r="Q827" t="s">
        <v>937</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v>1070</v>
      </c>
      <c r="Q828" t="s">
        <v>938</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v>2598</v>
      </c>
      <c r="Q829" t="s">
        <v>940</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v>2248</v>
      </c>
      <c r="Q830" t="s">
        <v>939</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v>4746</v>
      </c>
      <c r="Q831" t="s">
        <v>938</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v>5376</v>
      </c>
      <c r="Q832" t="s">
        <v>937</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v>4330</v>
      </c>
      <c r="Q833" t="s">
        <v>942</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v>2675</v>
      </c>
      <c r="Q834" t="s">
        <v>941</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v>2888</v>
      </c>
      <c r="Q835" t="s">
        <v>939</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v>781</v>
      </c>
      <c r="Q836" t="s">
        <v>942</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v>2675</v>
      </c>
      <c r="Q837" t="s">
        <v>942</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v>8960</v>
      </c>
      <c r="Q838" t="s">
        <v>940</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v>2675</v>
      </c>
      <c r="Q839" t="s">
        <v>937</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v>1605</v>
      </c>
      <c r="Q840" t="s">
        <v>940</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v>1605</v>
      </c>
      <c r="Q841" t="s">
        <v>939</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v>9575</v>
      </c>
      <c r="Q842" t="s">
        <v>938</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v>7168</v>
      </c>
      <c r="Q843" t="s">
        <v>943</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v>3584</v>
      </c>
      <c r="Q844" t="s">
        <v>938</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v>9575</v>
      </c>
      <c r="Q845" t="s">
        <v>942</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v>7910</v>
      </c>
      <c r="Q846" t="s">
        <v>942</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v>1915</v>
      </c>
      <c r="Q847" t="s">
        <v>942</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v>812</v>
      </c>
      <c r="Q848" t="s">
        <v>940</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v>4746</v>
      </c>
      <c r="Q849" t="s">
        <v>939</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v>722</v>
      </c>
      <c r="Q850" t="s">
        <v>943</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v>1915</v>
      </c>
      <c r="Q851" t="s">
        <v>941</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v>6328</v>
      </c>
      <c r="Q852" t="s">
        <v>938</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v>3124</v>
      </c>
      <c r="Q853" t="s">
        <v>939</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v>1562</v>
      </c>
      <c r="Q854" t="s">
        <v>940</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v>1686</v>
      </c>
      <c r="Q855" t="s">
        <v>939</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v>2140</v>
      </c>
      <c r="Q856" t="s">
        <v>937</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v>7168</v>
      </c>
      <c r="Q857" t="s">
        <v>943</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v>3164</v>
      </c>
      <c r="Q858" t="s">
        <v>943</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v>6870</v>
      </c>
      <c r="Q859" t="s">
        <v>939</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v>756</v>
      </c>
      <c r="Q860" t="s">
        <v>937</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v>2016</v>
      </c>
      <c r="Q861" t="s">
        <v>939</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v>2688</v>
      </c>
      <c r="Q862" t="s">
        <v>937</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v>3798</v>
      </c>
      <c r="Q863" t="s">
        <v>940</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v>1899</v>
      </c>
      <c r="Q864" t="s">
        <v>943</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v>4392</v>
      </c>
      <c r="Q865" t="s">
        <v>940</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v>4392</v>
      </c>
      <c r="Q866" t="s">
        <v>939</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v>2253</v>
      </c>
      <c r="Q867" t="s">
        <v>939</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v>751</v>
      </c>
      <c r="Q868" t="s">
        <v>943</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v>1202</v>
      </c>
      <c r="Q869" t="s">
        <v>941</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v>4944</v>
      </c>
      <c r="Q870" t="s">
        <v>943</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v>2472</v>
      </c>
      <c r="Q871" t="s">
        <v>939</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v>4050</v>
      </c>
      <c r="Q872" t="s">
        <v>939</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v>3846</v>
      </c>
      <c r="Q873" t="s">
        <v>943</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v>5952</v>
      </c>
      <c r="Q874" t="s">
        <v>939</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v>252</v>
      </c>
      <c r="Q875" t="s">
        <v>941</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v>756</v>
      </c>
      <c r="Q876" t="s">
        <v>938</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v>810</v>
      </c>
      <c r="Q877" t="s">
        <v>941</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v>5496</v>
      </c>
      <c r="Q878" t="s">
        <v>939</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v>1502</v>
      </c>
      <c r="Q879" t="s">
        <v>938</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v>1272</v>
      </c>
      <c r="Q880" t="s">
        <v>942</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v>4944</v>
      </c>
      <c r="Q881" t="s">
        <v>943</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v>2196</v>
      </c>
      <c r="Q882" t="s">
        <v>941</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v>3294</v>
      </c>
      <c r="Q883" t="s">
        <v>941</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v>3708</v>
      </c>
      <c r="Q884" t="s">
        <v>939</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v>810</v>
      </c>
      <c r="Q885" t="s">
        <v>942</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v>6870</v>
      </c>
      <c r="Q886" t="s">
        <v>941</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v>5490</v>
      </c>
      <c r="Q887" t="s">
        <v>942</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v>3790</v>
      </c>
      <c r="Q888" t="s">
        <v>943</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v>1899</v>
      </c>
      <c r="Q889" t="s">
        <v>940</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v>1098</v>
      </c>
      <c r="Q890" t="s">
        <v>942</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v>5490</v>
      </c>
      <c r="Q891" t="s">
        <v>940</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v>1394</v>
      </c>
      <c r="Q892" t="s">
        <v>942</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v>4392</v>
      </c>
      <c r="Q893" t="s">
        <v>938</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v>3790</v>
      </c>
      <c r="Q894" t="s">
        <v>940</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v>672</v>
      </c>
      <c r="Q895" t="s">
        <v>937</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v>2976</v>
      </c>
      <c r="Q896" t="s">
        <v>940</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v>4464</v>
      </c>
      <c r="Q897" t="s">
        <v>943</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v>1236</v>
      </c>
      <c r="Q898" t="s">
        <v>938</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v>4808</v>
      </c>
      <c r="Q899" t="s">
        <v>942</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v>1502</v>
      </c>
      <c r="Q900" t="s">
        <v>937</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v>1488</v>
      </c>
      <c r="Q901" t="s">
        <v>942</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v>3294</v>
      </c>
      <c r="Q902" t="s">
        <v>941</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v>3485</v>
      </c>
      <c r="Q903" t="s">
        <v>942</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v>252</v>
      </c>
      <c r="Q904" t="s">
        <v>938</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v>1260</v>
      </c>
      <c r="Q905" t="s">
        <v>943</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v>2472</v>
      </c>
      <c r="Q906" t="s">
        <v>940</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v>4392</v>
      </c>
      <c r="Q907" t="s">
        <v>941</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v>3606</v>
      </c>
      <c r="Q908" t="s">
        <v>938</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v>3606</v>
      </c>
      <c r="Q909" t="s">
        <v>943</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v>1236</v>
      </c>
      <c r="Q910" t="s">
        <v>939</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v>2748</v>
      </c>
      <c r="Q911" t="s">
        <v>937</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v>1272</v>
      </c>
      <c r="Q912" t="s">
        <v>937</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v>2688</v>
      </c>
      <c r="Q913" t="s">
        <v>943</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v>252</v>
      </c>
      <c r="Q914" t="s">
        <v>939</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v>2016</v>
      </c>
      <c r="Q915" t="s">
        <v>938</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v>3755</v>
      </c>
      <c r="Q916" t="s">
        <v>938</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v>2688</v>
      </c>
      <c r="Q917" t="s">
        <v>943</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v>1098</v>
      </c>
      <c r="Q918" t="s">
        <v>942</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v>2196</v>
      </c>
      <c r="Q919" t="s">
        <v>942</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v>1272</v>
      </c>
      <c r="Q920" t="s">
        <v>940</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v>1516</v>
      </c>
      <c r="Q921" t="s">
        <v>941</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v>3846</v>
      </c>
      <c r="Q922" t="s">
        <v>941</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v>3294</v>
      </c>
      <c r="Q923" t="s">
        <v>941</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v>751</v>
      </c>
      <c r="Q924" t="s">
        <v>942</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v>1620</v>
      </c>
      <c r="Q925" t="s">
        <v>943</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v>1516</v>
      </c>
      <c r="Q926" t="s">
        <v>937</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v>1202</v>
      </c>
      <c r="Q927" t="s">
        <v>939</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v>6180</v>
      </c>
      <c r="Q928" t="s">
        <v>939</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v>2253</v>
      </c>
      <c r="Q929" t="s">
        <v>940</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v>3755</v>
      </c>
      <c r="Q930" t="s">
        <v>937</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v>3606</v>
      </c>
      <c r="Q931" t="s">
        <v>937</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v>2091</v>
      </c>
      <c r="Q932" t="s">
        <v>939</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v>6180</v>
      </c>
      <c r="Q933" t="s">
        <v>939</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v>3755</v>
      </c>
      <c r="Q934" t="s">
        <v>942</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v>1374</v>
      </c>
      <c r="Q935" t="s">
        <v>938</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v>5088</v>
      </c>
      <c r="Q936" t="s">
        <v>938</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v>1899</v>
      </c>
      <c r="Q937" t="s">
        <v>938</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v>1923</v>
      </c>
      <c r="Q938" t="s">
        <v>939</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v>6010</v>
      </c>
      <c r="Q939" t="s">
        <v>940</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v>2788</v>
      </c>
      <c r="Q940" t="s">
        <v>937</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v>5088</v>
      </c>
      <c r="Q941" t="s">
        <v>941</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v>5769</v>
      </c>
      <c r="Q942" t="s">
        <v>937</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v>2196</v>
      </c>
      <c r="Q943" t="s">
        <v>943</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v>1394</v>
      </c>
      <c r="Q944" t="s">
        <v>939</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v>756</v>
      </c>
      <c r="Q945" t="s">
        <v>941</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v>6010</v>
      </c>
      <c r="Q946" t="s">
        <v>939</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v>4122</v>
      </c>
      <c r="Q947" t="s">
        <v>942</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v>9615</v>
      </c>
      <c r="Q948" t="s">
        <v>937</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v>5952</v>
      </c>
      <c r="Q949" t="s">
        <v>943</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v>1374</v>
      </c>
      <c r="Q950" t="s">
        <v>939</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v>2976</v>
      </c>
      <c r="Q951" t="s">
        <v>938</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v>5490</v>
      </c>
      <c r="Q952" t="s">
        <v>943</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v>2544</v>
      </c>
      <c r="Q953" t="s">
        <v>943</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v>1272</v>
      </c>
      <c r="Q954" t="s">
        <v>937</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v>5490</v>
      </c>
      <c r="Q955" t="s">
        <v>940</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v>2472</v>
      </c>
      <c r="Q956" t="s">
        <v>937</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v>2196</v>
      </c>
      <c r="Q957" t="s">
        <v>937</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v>2748</v>
      </c>
      <c r="Q958" t="s">
        <v>938</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v>6180</v>
      </c>
      <c r="Q959" t="s">
        <v>941</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v>6870</v>
      </c>
      <c r="Q960" t="s">
        <v>940</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v>3790</v>
      </c>
      <c r="Q961" t="s">
        <v>943</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v>1344</v>
      </c>
      <c r="Q962" t="s">
        <v>941</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v>5490</v>
      </c>
      <c r="Q963" t="s">
        <v>941</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v>9615</v>
      </c>
      <c r="Q964" t="s">
        <v>941</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v>3606</v>
      </c>
      <c r="Q965" t="s">
        <v>941</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v>3240</v>
      </c>
      <c r="Q966" t="s">
        <v>938</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v>3846</v>
      </c>
      <c r="Q967" t="s">
        <v>938</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v>2544</v>
      </c>
      <c r="Q968" t="s">
        <v>939</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v>3240</v>
      </c>
      <c r="Q969" t="s">
        <v>939</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v>3755</v>
      </c>
      <c r="Q970" t="s">
        <v>940</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v>3846</v>
      </c>
      <c r="Q971" t="s">
        <v>942</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v>2430</v>
      </c>
      <c r="Q972" t="s">
        <v>939</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v>3032</v>
      </c>
      <c r="Q973" t="s">
        <v>937</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v>6010</v>
      </c>
      <c r="Q974" t="s">
        <v>939</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v>756</v>
      </c>
      <c r="Q975" t="s">
        <v>942</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v>1516</v>
      </c>
      <c r="Q976" t="s">
        <v>943</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v>6360</v>
      </c>
      <c r="Q977" t="s">
        <v>938</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v>2748</v>
      </c>
      <c r="Q978" t="s">
        <v>939</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v>1516</v>
      </c>
      <c r="Q979" t="s">
        <v>939</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v>2091</v>
      </c>
      <c r="Q980" t="s">
        <v>941</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v>1488</v>
      </c>
      <c r="Q981" t="s">
        <v>940</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v>4944</v>
      </c>
      <c r="Q982" t="s">
        <v>937</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v>758</v>
      </c>
      <c r="Q983" t="s">
        <v>938</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v>1502</v>
      </c>
      <c r="Q984" t="s">
        <v>938</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v>6360</v>
      </c>
      <c r="Q985" t="s">
        <v>940</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v>2016</v>
      </c>
      <c r="Q986" t="s">
        <v>942</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v>4392</v>
      </c>
      <c r="Q987" t="s">
        <v>941</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v>1098</v>
      </c>
      <c r="Q988" t="s">
        <v>943</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v>2430</v>
      </c>
      <c r="Q989" t="s">
        <v>937</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v>7596</v>
      </c>
      <c r="Q990" t="s">
        <v>937</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v>1923</v>
      </c>
      <c r="Q991" t="s">
        <v>940</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v>1098</v>
      </c>
      <c r="Q992" t="s">
        <v>939</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v>1923</v>
      </c>
      <c r="Q993" t="s">
        <v>943</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v>9495</v>
      </c>
      <c r="Q994" t="s">
        <v>939</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v>4944</v>
      </c>
      <c r="Q995" t="s">
        <v>943</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v>1502</v>
      </c>
      <c r="Q996" t="s">
        <v>940</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v>3798</v>
      </c>
      <c r="Q997" t="s">
        <v>939</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v>3360</v>
      </c>
      <c r="Q998" t="s">
        <v>943</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v>1516</v>
      </c>
      <c r="Q999" t="s">
        <v>940</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v>4050</v>
      </c>
      <c r="Q1000" t="s">
        <v>940</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v>6010</v>
      </c>
      <c r="Q1001" t="s">
        <v>937</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4A93-8E7E-418E-9EA2-3BCC7DB39548}">
  <dimension ref="A1:E71"/>
  <sheetViews>
    <sheetView workbookViewId="0">
      <selection activeCell="I16" sqref="I16"/>
    </sheetView>
  </sheetViews>
  <sheetFormatPr defaultRowHeight="14.5" x14ac:dyDescent="0.35"/>
  <cols>
    <col min="1" max="1" width="12.54296875" bestFit="1" customWidth="1"/>
    <col min="2" max="2" width="17.6328125" bestFit="1" customWidth="1"/>
    <col min="3" max="3" width="14.7265625" bestFit="1" customWidth="1"/>
    <col min="4" max="4" width="14.26953125" style="7" bestFit="1" customWidth="1"/>
    <col min="5" max="5" width="14.7265625" bestFit="1" customWidth="1"/>
  </cols>
  <sheetData>
    <row r="1" spans="1:5" x14ac:dyDescent="0.35">
      <c r="A1" t="s">
        <v>606</v>
      </c>
      <c r="B1" t="s">
        <v>856</v>
      </c>
      <c r="C1" t="s">
        <v>857</v>
      </c>
      <c r="D1" s="7" t="s">
        <v>858</v>
      </c>
      <c r="E1" t="s">
        <v>613</v>
      </c>
    </row>
    <row r="2" spans="1:5" x14ac:dyDescent="0.35">
      <c r="A2">
        <v>1</v>
      </c>
      <c r="B2" t="s">
        <v>859</v>
      </c>
      <c r="C2" t="s">
        <v>860</v>
      </c>
      <c r="D2" s="7">
        <v>1935</v>
      </c>
      <c r="E2" t="s">
        <v>699</v>
      </c>
    </row>
    <row r="3" spans="1:5" x14ac:dyDescent="0.35">
      <c r="A3">
        <v>2</v>
      </c>
      <c r="B3" t="s">
        <v>861</v>
      </c>
      <c r="C3" t="s">
        <v>862</v>
      </c>
      <c r="D3" s="7">
        <v>441</v>
      </c>
      <c r="E3" t="s">
        <v>620</v>
      </c>
    </row>
    <row r="4" spans="1:5" x14ac:dyDescent="0.35">
      <c r="A4">
        <v>3</v>
      </c>
      <c r="B4" t="s">
        <v>863</v>
      </c>
      <c r="C4" t="s">
        <v>864</v>
      </c>
      <c r="D4" s="7">
        <v>1534</v>
      </c>
      <c r="E4" t="s">
        <v>620</v>
      </c>
    </row>
    <row r="5" spans="1:5" x14ac:dyDescent="0.35">
      <c r="A5">
        <v>4</v>
      </c>
      <c r="B5" t="s">
        <v>865</v>
      </c>
      <c r="C5" t="s">
        <v>866</v>
      </c>
      <c r="D5" s="7">
        <v>1199</v>
      </c>
      <c r="E5" t="s">
        <v>829</v>
      </c>
    </row>
    <row r="6" spans="1:5" x14ac:dyDescent="0.35">
      <c r="A6">
        <v>5</v>
      </c>
      <c r="B6" t="s">
        <v>867</v>
      </c>
      <c r="C6" t="s">
        <v>864</v>
      </c>
      <c r="D6" s="7">
        <v>1444</v>
      </c>
      <c r="E6" t="s">
        <v>699</v>
      </c>
    </row>
    <row r="7" spans="1:5" x14ac:dyDescent="0.35">
      <c r="A7">
        <v>6</v>
      </c>
      <c r="B7" t="s">
        <v>868</v>
      </c>
      <c r="C7" t="s">
        <v>869</v>
      </c>
      <c r="D7" s="7">
        <v>1112</v>
      </c>
      <c r="E7" t="s">
        <v>701</v>
      </c>
    </row>
    <row r="8" spans="1:5" x14ac:dyDescent="0.35">
      <c r="A8">
        <v>7</v>
      </c>
      <c r="B8" t="s">
        <v>870</v>
      </c>
      <c r="C8" t="s">
        <v>860</v>
      </c>
      <c r="D8" s="7">
        <v>409</v>
      </c>
      <c r="E8" t="s">
        <v>701</v>
      </c>
    </row>
    <row r="9" spans="1:5" x14ac:dyDescent="0.35">
      <c r="A9">
        <v>8</v>
      </c>
      <c r="B9" t="s">
        <v>871</v>
      </c>
      <c r="C9" t="s">
        <v>866</v>
      </c>
      <c r="D9" s="7">
        <v>252</v>
      </c>
      <c r="E9" t="s">
        <v>698</v>
      </c>
    </row>
    <row r="10" spans="1:5" x14ac:dyDescent="0.35">
      <c r="A10">
        <v>9</v>
      </c>
      <c r="B10" t="s">
        <v>872</v>
      </c>
      <c r="C10" t="s">
        <v>864</v>
      </c>
      <c r="D10" s="7">
        <v>1605</v>
      </c>
      <c r="E10" t="s">
        <v>794</v>
      </c>
    </row>
    <row r="11" spans="1:5" x14ac:dyDescent="0.35">
      <c r="A11">
        <v>10</v>
      </c>
      <c r="B11" t="s">
        <v>873</v>
      </c>
      <c r="C11" t="s">
        <v>869</v>
      </c>
      <c r="D11" s="7">
        <v>259</v>
      </c>
      <c r="E11" t="s">
        <v>707</v>
      </c>
    </row>
    <row r="12" spans="1:5" x14ac:dyDescent="0.35">
      <c r="A12">
        <v>11</v>
      </c>
      <c r="B12" t="s">
        <v>874</v>
      </c>
      <c r="C12" t="s">
        <v>875</v>
      </c>
      <c r="D12" s="7">
        <v>1096</v>
      </c>
      <c r="E12" t="s">
        <v>620</v>
      </c>
    </row>
    <row r="13" spans="1:5" x14ac:dyDescent="0.35">
      <c r="A13">
        <v>12</v>
      </c>
      <c r="B13" t="s">
        <v>876</v>
      </c>
      <c r="C13" t="s">
        <v>862</v>
      </c>
      <c r="D13" s="7">
        <v>672</v>
      </c>
      <c r="E13" t="s">
        <v>698</v>
      </c>
    </row>
    <row r="14" spans="1:5" x14ac:dyDescent="0.35">
      <c r="A14">
        <v>13</v>
      </c>
      <c r="B14" t="s">
        <v>877</v>
      </c>
      <c r="C14" t="s">
        <v>875</v>
      </c>
      <c r="D14" s="7">
        <v>1141</v>
      </c>
      <c r="E14" t="s">
        <v>701</v>
      </c>
    </row>
    <row r="15" spans="1:5" x14ac:dyDescent="0.35">
      <c r="A15">
        <v>14</v>
      </c>
      <c r="B15" t="s">
        <v>878</v>
      </c>
      <c r="C15" t="s">
        <v>864</v>
      </c>
      <c r="D15" s="7">
        <v>1915</v>
      </c>
      <c r="E15" t="s">
        <v>707</v>
      </c>
    </row>
    <row r="16" spans="1:5" x14ac:dyDescent="0.35">
      <c r="A16">
        <v>15</v>
      </c>
      <c r="B16" t="s">
        <v>879</v>
      </c>
      <c r="C16" t="s">
        <v>794</v>
      </c>
      <c r="D16" s="7">
        <v>1488</v>
      </c>
      <c r="E16" t="s">
        <v>698</v>
      </c>
    </row>
    <row r="17" spans="1:5" x14ac:dyDescent="0.35">
      <c r="A17">
        <v>16</v>
      </c>
      <c r="B17" t="s">
        <v>880</v>
      </c>
      <c r="C17" t="s">
        <v>866</v>
      </c>
      <c r="D17" s="7">
        <v>1721</v>
      </c>
      <c r="E17" t="s">
        <v>701</v>
      </c>
    </row>
    <row r="18" spans="1:5" x14ac:dyDescent="0.35">
      <c r="A18">
        <v>17</v>
      </c>
      <c r="B18" t="s">
        <v>881</v>
      </c>
      <c r="C18" t="s">
        <v>860</v>
      </c>
      <c r="D18" s="7">
        <v>1899</v>
      </c>
      <c r="E18" t="s">
        <v>698</v>
      </c>
    </row>
    <row r="19" spans="1:5" x14ac:dyDescent="0.35">
      <c r="A19">
        <v>18</v>
      </c>
      <c r="B19" t="s">
        <v>882</v>
      </c>
      <c r="C19" t="s">
        <v>862</v>
      </c>
      <c r="D19" s="7">
        <v>781</v>
      </c>
      <c r="E19" t="s">
        <v>707</v>
      </c>
    </row>
    <row r="20" spans="1:5" x14ac:dyDescent="0.35">
      <c r="A20">
        <v>19</v>
      </c>
      <c r="B20" t="s">
        <v>883</v>
      </c>
      <c r="C20" t="s">
        <v>875</v>
      </c>
      <c r="D20" s="7">
        <v>1234</v>
      </c>
      <c r="E20" t="s">
        <v>620</v>
      </c>
    </row>
    <row r="21" spans="1:5" x14ac:dyDescent="0.35">
      <c r="A21">
        <v>20</v>
      </c>
      <c r="B21" t="s">
        <v>884</v>
      </c>
      <c r="C21" t="s">
        <v>864</v>
      </c>
      <c r="D21" s="7">
        <v>697</v>
      </c>
      <c r="E21" t="s">
        <v>698</v>
      </c>
    </row>
    <row r="22" spans="1:5" x14ac:dyDescent="0.35">
      <c r="A22">
        <v>21</v>
      </c>
      <c r="B22" t="s">
        <v>885</v>
      </c>
      <c r="C22" t="s">
        <v>864</v>
      </c>
      <c r="D22" s="7">
        <v>1561</v>
      </c>
      <c r="E22" t="s">
        <v>794</v>
      </c>
    </row>
    <row r="23" spans="1:5" x14ac:dyDescent="0.35">
      <c r="A23">
        <v>22</v>
      </c>
      <c r="B23" t="s">
        <v>886</v>
      </c>
      <c r="C23" t="s">
        <v>860</v>
      </c>
      <c r="D23" s="7">
        <v>1639</v>
      </c>
      <c r="E23" t="s">
        <v>699</v>
      </c>
    </row>
    <row r="24" spans="1:5" x14ac:dyDescent="0.35">
      <c r="A24">
        <v>23</v>
      </c>
      <c r="B24" t="s">
        <v>887</v>
      </c>
      <c r="C24" t="s">
        <v>866</v>
      </c>
      <c r="D24" s="7">
        <v>1098</v>
      </c>
      <c r="E24" t="s">
        <v>698</v>
      </c>
    </row>
    <row r="25" spans="1:5" x14ac:dyDescent="0.35">
      <c r="A25">
        <v>24</v>
      </c>
      <c r="B25" t="s">
        <v>888</v>
      </c>
      <c r="C25" t="s">
        <v>875</v>
      </c>
      <c r="D25" s="7">
        <v>535</v>
      </c>
      <c r="E25" t="s">
        <v>707</v>
      </c>
    </row>
    <row r="26" spans="1:5" x14ac:dyDescent="0.35">
      <c r="A26">
        <v>25</v>
      </c>
      <c r="B26" t="s">
        <v>889</v>
      </c>
      <c r="C26" t="s">
        <v>862</v>
      </c>
      <c r="D26" s="7">
        <v>1202</v>
      </c>
      <c r="E26" t="s">
        <v>698</v>
      </c>
    </row>
    <row r="27" spans="1:5" x14ac:dyDescent="0.35">
      <c r="A27">
        <v>26</v>
      </c>
      <c r="B27" t="s">
        <v>890</v>
      </c>
      <c r="C27" t="s">
        <v>864</v>
      </c>
      <c r="D27" s="7">
        <v>289</v>
      </c>
      <c r="E27" t="s">
        <v>701</v>
      </c>
    </row>
    <row r="28" spans="1:5" x14ac:dyDescent="0.35">
      <c r="A28">
        <v>27</v>
      </c>
      <c r="B28" t="s">
        <v>891</v>
      </c>
      <c r="C28" t="s">
        <v>869</v>
      </c>
      <c r="D28" s="7">
        <v>548</v>
      </c>
      <c r="E28" t="s">
        <v>794</v>
      </c>
    </row>
    <row r="29" spans="1:5" x14ac:dyDescent="0.35">
      <c r="A29">
        <v>28</v>
      </c>
      <c r="B29" t="s">
        <v>892</v>
      </c>
      <c r="C29" t="s">
        <v>866</v>
      </c>
      <c r="D29" s="7">
        <v>1778</v>
      </c>
      <c r="E29" t="s">
        <v>794</v>
      </c>
    </row>
    <row r="30" spans="1:5" x14ac:dyDescent="0.35">
      <c r="A30">
        <v>29</v>
      </c>
      <c r="B30" t="s">
        <v>893</v>
      </c>
      <c r="C30" t="s">
        <v>864</v>
      </c>
      <c r="D30" s="7">
        <v>1252</v>
      </c>
      <c r="E30" t="s">
        <v>701</v>
      </c>
    </row>
    <row r="31" spans="1:5" x14ac:dyDescent="0.35">
      <c r="A31">
        <v>30</v>
      </c>
      <c r="B31" t="s">
        <v>894</v>
      </c>
      <c r="C31" t="s">
        <v>864</v>
      </c>
      <c r="D31" s="7">
        <v>751</v>
      </c>
      <c r="E31" t="s">
        <v>698</v>
      </c>
    </row>
    <row r="32" spans="1:5" x14ac:dyDescent="0.35">
      <c r="A32">
        <v>31</v>
      </c>
      <c r="B32" t="s">
        <v>895</v>
      </c>
      <c r="C32" t="s">
        <v>864</v>
      </c>
      <c r="D32" s="7">
        <v>1804</v>
      </c>
      <c r="E32" t="s">
        <v>699</v>
      </c>
    </row>
    <row r="33" spans="1:5" x14ac:dyDescent="0.35">
      <c r="A33">
        <v>32</v>
      </c>
      <c r="B33" t="s">
        <v>896</v>
      </c>
      <c r="C33" t="s">
        <v>860</v>
      </c>
      <c r="D33" s="7">
        <v>1792</v>
      </c>
      <c r="E33" t="s">
        <v>707</v>
      </c>
    </row>
    <row r="34" spans="1:5" x14ac:dyDescent="0.35">
      <c r="A34">
        <v>33</v>
      </c>
      <c r="B34" t="s">
        <v>897</v>
      </c>
      <c r="C34" t="s">
        <v>864</v>
      </c>
      <c r="D34" s="7">
        <v>314</v>
      </c>
      <c r="E34" t="s">
        <v>620</v>
      </c>
    </row>
    <row r="35" spans="1:5" x14ac:dyDescent="0.35">
      <c r="A35">
        <v>34</v>
      </c>
      <c r="B35" t="s">
        <v>898</v>
      </c>
      <c r="C35" t="s">
        <v>860</v>
      </c>
      <c r="D35" s="7">
        <v>1335</v>
      </c>
      <c r="E35" t="s">
        <v>794</v>
      </c>
    </row>
    <row r="36" spans="1:5" x14ac:dyDescent="0.35">
      <c r="A36">
        <v>35</v>
      </c>
      <c r="B36" t="s">
        <v>899</v>
      </c>
      <c r="C36" t="s">
        <v>864</v>
      </c>
      <c r="D36" s="7">
        <v>1865</v>
      </c>
      <c r="E36" t="s">
        <v>701</v>
      </c>
    </row>
    <row r="37" spans="1:5" x14ac:dyDescent="0.35">
      <c r="A37">
        <v>36</v>
      </c>
      <c r="B37" t="s">
        <v>900</v>
      </c>
      <c r="C37" t="s">
        <v>862</v>
      </c>
      <c r="D37" s="7">
        <v>203</v>
      </c>
      <c r="E37" t="s">
        <v>707</v>
      </c>
    </row>
    <row r="38" spans="1:5" x14ac:dyDescent="0.35">
      <c r="A38">
        <v>37</v>
      </c>
      <c r="B38" t="s">
        <v>901</v>
      </c>
      <c r="C38" t="s">
        <v>864</v>
      </c>
      <c r="D38" s="7">
        <v>1428</v>
      </c>
      <c r="E38" t="s">
        <v>829</v>
      </c>
    </row>
    <row r="39" spans="1:5" x14ac:dyDescent="0.35">
      <c r="A39">
        <v>38</v>
      </c>
      <c r="B39" t="s">
        <v>902</v>
      </c>
      <c r="C39" t="s">
        <v>869</v>
      </c>
      <c r="D39" s="7">
        <v>562</v>
      </c>
      <c r="E39" t="s">
        <v>707</v>
      </c>
    </row>
    <row r="40" spans="1:5" x14ac:dyDescent="0.35">
      <c r="A40">
        <v>39</v>
      </c>
      <c r="B40" t="s">
        <v>903</v>
      </c>
      <c r="C40" t="s">
        <v>875</v>
      </c>
      <c r="D40" s="7">
        <v>387</v>
      </c>
      <c r="E40" t="s">
        <v>699</v>
      </c>
    </row>
    <row r="41" spans="1:5" x14ac:dyDescent="0.35">
      <c r="A41">
        <v>40</v>
      </c>
      <c r="B41" t="s">
        <v>904</v>
      </c>
      <c r="C41" t="s">
        <v>866</v>
      </c>
      <c r="D41" s="7">
        <v>1923</v>
      </c>
      <c r="E41" t="s">
        <v>698</v>
      </c>
    </row>
    <row r="42" spans="1:5" x14ac:dyDescent="0.35">
      <c r="A42">
        <v>41</v>
      </c>
      <c r="B42" t="s">
        <v>905</v>
      </c>
      <c r="C42" t="s">
        <v>866</v>
      </c>
      <c r="D42" s="7">
        <v>1977</v>
      </c>
      <c r="E42" t="s">
        <v>829</v>
      </c>
    </row>
    <row r="43" spans="1:5" x14ac:dyDescent="0.35">
      <c r="A43">
        <v>42</v>
      </c>
      <c r="B43" t="s">
        <v>906</v>
      </c>
      <c r="C43" t="s">
        <v>866</v>
      </c>
      <c r="D43" s="7">
        <v>1744</v>
      </c>
      <c r="E43" t="s">
        <v>699</v>
      </c>
    </row>
    <row r="44" spans="1:5" x14ac:dyDescent="0.35">
      <c r="A44">
        <v>43</v>
      </c>
      <c r="B44" t="s">
        <v>907</v>
      </c>
      <c r="C44" t="s">
        <v>794</v>
      </c>
      <c r="D44" s="7">
        <v>750</v>
      </c>
      <c r="E44" t="s">
        <v>829</v>
      </c>
    </row>
    <row r="45" spans="1:5" x14ac:dyDescent="0.35">
      <c r="A45">
        <v>44</v>
      </c>
      <c r="B45" t="s">
        <v>908</v>
      </c>
      <c r="C45" t="s">
        <v>862</v>
      </c>
      <c r="D45" s="7">
        <v>794</v>
      </c>
      <c r="E45" t="s">
        <v>829</v>
      </c>
    </row>
    <row r="46" spans="1:5" x14ac:dyDescent="0.35">
      <c r="A46">
        <v>45</v>
      </c>
      <c r="B46" t="s">
        <v>909</v>
      </c>
      <c r="C46" t="s">
        <v>794</v>
      </c>
      <c r="D46" s="7">
        <v>722</v>
      </c>
      <c r="E46" t="s">
        <v>707</v>
      </c>
    </row>
    <row r="47" spans="1:5" x14ac:dyDescent="0.35">
      <c r="A47">
        <v>46</v>
      </c>
      <c r="B47" t="s">
        <v>910</v>
      </c>
      <c r="C47" t="s">
        <v>869</v>
      </c>
      <c r="D47" s="7">
        <v>758</v>
      </c>
      <c r="E47" t="s">
        <v>698</v>
      </c>
    </row>
    <row r="48" spans="1:5" x14ac:dyDescent="0.35">
      <c r="A48">
        <v>47</v>
      </c>
      <c r="B48" t="s">
        <v>911</v>
      </c>
      <c r="C48" t="s">
        <v>864</v>
      </c>
      <c r="D48" s="7">
        <v>1638</v>
      </c>
      <c r="E48" t="s">
        <v>701</v>
      </c>
    </row>
    <row r="49" spans="1:5" x14ac:dyDescent="0.35">
      <c r="A49">
        <v>48</v>
      </c>
      <c r="B49" t="s">
        <v>912</v>
      </c>
      <c r="C49" t="s">
        <v>864</v>
      </c>
      <c r="D49" s="7">
        <v>433</v>
      </c>
      <c r="E49" t="s">
        <v>829</v>
      </c>
    </row>
    <row r="50" spans="1:5" x14ac:dyDescent="0.35">
      <c r="A50">
        <v>49</v>
      </c>
      <c r="B50" t="s">
        <v>913</v>
      </c>
      <c r="C50" t="s">
        <v>864</v>
      </c>
      <c r="D50" s="7">
        <v>903</v>
      </c>
      <c r="E50" t="s">
        <v>620</v>
      </c>
    </row>
    <row r="51" spans="1:5" x14ac:dyDescent="0.35">
      <c r="A51">
        <v>50</v>
      </c>
      <c r="B51" t="s">
        <v>914</v>
      </c>
      <c r="C51" t="s">
        <v>862</v>
      </c>
      <c r="D51" s="7">
        <v>422</v>
      </c>
      <c r="E51" t="s">
        <v>701</v>
      </c>
    </row>
    <row r="52" spans="1:5" x14ac:dyDescent="0.35">
      <c r="A52">
        <v>51</v>
      </c>
      <c r="B52" t="s">
        <v>915</v>
      </c>
      <c r="C52" t="s">
        <v>860</v>
      </c>
      <c r="D52" s="7">
        <v>1084</v>
      </c>
      <c r="E52" t="s">
        <v>699</v>
      </c>
    </row>
    <row r="53" spans="1:5" x14ac:dyDescent="0.35">
      <c r="A53">
        <v>52</v>
      </c>
      <c r="B53" t="s">
        <v>916</v>
      </c>
      <c r="C53" t="s">
        <v>794</v>
      </c>
      <c r="D53" s="7">
        <v>236</v>
      </c>
      <c r="E53" t="s">
        <v>620</v>
      </c>
    </row>
    <row r="54" spans="1:5" x14ac:dyDescent="0.35">
      <c r="A54">
        <v>53</v>
      </c>
      <c r="B54" t="s">
        <v>917</v>
      </c>
      <c r="C54" t="s">
        <v>866</v>
      </c>
      <c r="D54" s="7">
        <v>1672</v>
      </c>
      <c r="E54" t="s">
        <v>794</v>
      </c>
    </row>
    <row r="55" spans="1:5" x14ac:dyDescent="0.35">
      <c r="A55">
        <v>54</v>
      </c>
      <c r="B55" t="s">
        <v>918</v>
      </c>
      <c r="C55" t="s">
        <v>869</v>
      </c>
      <c r="D55" s="7">
        <v>1236</v>
      </c>
      <c r="E55" t="s">
        <v>698</v>
      </c>
    </row>
    <row r="56" spans="1:5" x14ac:dyDescent="0.35">
      <c r="A56">
        <v>55</v>
      </c>
      <c r="B56" t="s">
        <v>919</v>
      </c>
      <c r="C56" t="s">
        <v>860</v>
      </c>
      <c r="D56" s="7">
        <v>1904</v>
      </c>
      <c r="E56" t="s">
        <v>794</v>
      </c>
    </row>
    <row r="57" spans="1:5" x14ac:dyDescent="0.35">
      <c r="A57">
        <v>56</v>
      </c>
      <c r="B57" t="s">
        <v>885</v>
      </c>
      <c r="C57" t="s">
        <v>794</v>
      </c>
      <c r="D57" s="7">
        <v>1272</v>
      </c>
      <c r="E57" t="s">
        <v>698</v>
      </c>
    </row>
    <row r="58" spans="1:5" x14ac:dyDescent="0.35">
      <c r="A58">
        <v>57</v>
      </c>
      <c r="B58" t="s">
        <v>920</v>
      </c>
      <c r="C58" t="s">
        <v>864</v>
      </c>
      <c r="D58" s="7">
        <v>1582</v>
      </c>
      <c r="E58" t="s">
        <v>707</v>
      </c>
    </row>
    <row r="59" spans="1:5" x14ac:dyDescent="0.35">
      <c r="A59">
        <v>58</v>
      </c>
      <c r="B59" t="s">
        <v>921</v>
      </c>
      <c r="C59" t="s">
        <v>869</v>
      </c>
      <c r="D59" s="7">
        <v>1492</v>
      </c>
      <c r="E59" t="s">
        <v>620</v>
      </c>
    </row>
    <row r="60" spans="1:5" x14ac:dyDescent="0.35">
      <c r="A60">
        <v>59</v>
      </c>
      <c r="B60" t="s">
        <v>922</v>
      </c>
      <c r="C60" t="s">
        <v>869</v>
      </c>
      <c r="D60" s="7">
        <v>811</v>
      </c>
      <c r="E60" t="s">
        <v>794</v>
      </c>
    </row>
    <row r="61" spans="1:5" x14ac:dyDescent="0.35">
      <c r="A61">
        <v>60</v>
      </c>
      <c r="B61" t="s">
        <v>923</v>
      </c>
      <c r="C61" t="s">
        <v>866</v>
      </c>
      <c r="D61" s="7">
        <v>827</v>
      </c>
      <c r="E61" t="s">
        <v>829</v>
      </c>
    </row>
    <row r="62" spans="1:5" x14ac:dyDescent="0.35">
      <c r="A62">
        <v>61</v>
      </c>
      <c r="B62" t="s">
        <v>924</v>
      </c>
      <c r="C62" t="s">
        <v>862</v>
      </c>
      <c r="D62" s="7">
        <v>810</v>
      </c>
      <c r="E62" t="s">
        <v>698</v>
      </c>
    </row>
    <row r="63" spans="1:5" x14ac:dyDescent="0.35">
      <c r="A63">
        <v>62</v>
      </c>
      <c r="B63" t="s">
        <v>925</v>
      </c>
      <c r="C63" t="s">
        <v>864</v>
      </c>
      <c r="D63" s="7">
        <v>1356</v>
      </c>
      <c r="E63" t="s">
        <v>701</v>
      </c>
    </row>
    <row r="64" spans="1:5" x14ac:dyDescent="0.35">
      <c r="A64">
        <v>63</v>
      </c>
      <c r="B64" t="s">
        <v>926</v>
      </c>
      <c r="C64" t="s">
        <v>866</v>
      </c>
      <c r="D64" s="7">
        <v>1348</v>
      </c>
      <c r="E64" t="s">
        <v>699</v>
      </c>
    </row>
    <row r="65" spans="1:5" x14ac:dyDescent="0.35">
      <c r="A65">
        <v>64</v>
      </c>
      <c r="B65" t="s">
        <v>927</v>
      </c>
      <c r="C65" t="s">
        <v>860</v>
      </c>
      <c r="D65" s="7">
        <v>1878</v>
      </c>
      <c r="E65" t="s">
        <v>794</v>
      </c>
    </row>
    <row r="66" spans="1:5" x14ac:dyDescent="0.35">
      <c r="A66">
        <v>65</v>
      </c>
      <c r="B66" t="s">
        <v>928</v>
      </c>
      <c r="C66" t="s">
        <v>794</v>
      </c>
      <c r="D66" s="7">
        <v>1895</v>
      </c>
      <c r="E66" t="s">
        <v>699</v>
      </c>
    </row>
    <row r="67" spans="1:5" x14ac:dyDescent="0.35">
      <c r="A67">
        <v>66</v>
      </c>
      <c r="B67" t="s">
        <v>929</v>
      </c>
      <c r="C67" t="s">
        <v>864</v>
      </c>
      <c r="D67" s="7">
        <v>610</v>
      </c>
      <c r="E67" t="s">
        <v>701</v>
      </c>
    </row>
    <row r="68" spans="1:5" x14ac:dyDescent="0.35">
      <c r="A68">
        <v>67</v>
      </c>
      <c r="B68" t="s">
        <v>930</v>
      </c>
      <c r="C68" t="s">
        <v>794</v>
      </c>
      <c r="D68" s="7">
        <v>1374</v>
      </c>
      <c r="E68" t="s">
        <v>698</v>
      </c>
    </row>
    <row r="69" spans="1:5" x14ac:dyDescent="0.35">
      <c r="A69">
        <v>68</v>
      </c>
      <c r="B69" t="s">
        <v>931</v>
      </c>
      <c r="C69" t="s">
        <v>860</v>
      </c>
      <c r="D69" s="7">
        <v>597</v>
      </c>
      <c r="E69" t="s">
        <v>620</v>
      </c>
    </row>
    <row r="70" spans="1:5" x14ac:dyDescent="0.35">
      <c r="A70">
        <v>69</v>
      </c>
      <c r="B70" t="s">
        <v>932</v>
      </c>
      <c r="C70" t="s">
        <v>869</v>
      </c>
      <c r="D70" s="7">
        <v>998</v>
      </c>
      <c r="E70" t="s">
        <v>701</v>
      </c>
    </row>
    <row r="71" spans="1:5" x14ac:dyDescent="0.35">
      <c r="A71">
        <v>70</v>
      </c>
      <c r="B71" t="s">
        <v>928</v>
      </c>
      <c r="C71" t="s">
        <v>866</v>
      </c>
      <c r="D71" s="7">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102AB-70BE-46C9-B77B-C412C4A9B69B}">
  <dimension ref="B2:I57"/>
  <sheetViews>
    <sheetView workbookViewId="0">
      <selection activeCell="G3" sqref="G3"/>
    </sheetView>
  </sheetViews>
  <sheetFormatPr defaultRowHeight="14.5" x14ac:dyDescent="0.35"/>
  <cols>
    <col min="2" max="2" width="14.7265625" bestFit="1" customWidth="1"/>
    <col min="3" max="3" width="15.81640625" style="6" bestFit="1" customWidth="1"/>
    <col min="5" max="5" width="14" bestFit="1" customWidth="1"/>
    <col min="6" max="6" width="16.36328125" bestFit="1" customWidth="1"/>
    <col min="7" max="7" width="17.54296875" bestFit="1" customWidth="1"/>
    <col min="8" max="8" width="14.7265625" bestFit="1" customWidth="1"/>
    <col min="9" max="9" width="14.36328125" bestFit="1" customWidth="1"/>
  </cols>
  <sheetData>
    <row r="2" spans="2:9" x14ac:dyDescent="0.35">
      <c r="B2" s="4" t="s">
        <v>933</v>
      </c>
      <c r="C2" s="6" t="s">
        <v>944</v>
      </c>
      <c r="E2" t="s">
        <v>944</v>
      </c>
      <c r="F2" t="s">
        <v>946</v>
      </c>
      <c r="G2" t="s">
        <v>945</v>
      </c>
    </row>
    <row r="3" spans="2:9" x14ac:dyDescent="0.35">
      <c r="B3" s="5" t="s">
        <v>842</v>
      </c>
      <c r="C3" s="6">
        <v>95468</v>
      </c>
      <c r="E3" s="6">
        <v>3520984</v>
      </c>
      <c r="F3" s="18">
        <v>5.53</v>
      </c>
      <c r="G3" s="6">
        <v>3520.9839999999999</v>
      </c>
    </row>
    <row r="4" spans="2:9" x14ac:dyDescent="0.35">
      <c r="B4" s="5" t="s">
        <v>621</v>
      </c>
      <c r="C4" s="6">
        <v>704509</v>
      </c>
    </row>
    <row r="5" spans="2:9" x14ac:dyDescent="0.35">
      <c r="B5" s="5" t="s">
        <v>747</v>
      </c>
      <c r="C5" s="6">
        <v>511823</v>
      </c>
    </row>
    <row r="6" spans="2:9" x14ac:dyDescent="0.35">
      <c r="B6" s="5" t="s">
        <v>837</v>
      </c>
      <c r="C6" s="6">
        <v>140393</v>
      </c>
      <c r="E6" s="4" t="s">
        <v>933</v>
      </c>
      <c r="F6" t="s">
        <v>944</v>
      </c>
    </row>
    <row r="7" spans="2:9" x14ac:dyDescent="0.35">
      <c r="B7" s="5" t="s">
        <v>840</v>
      </c>
      <c r="C7" s="6">
        <v>150346</v>
      </c>
      <c r="E7" s="5" t="s">
        <v>878</v>
      </c>
      <c r="F7" s="6">
        <v>97665</v>
      </c>
      <c r="H7">
        <f>CORREL(Orders[Quantity],Orders[Delivery_Oder_Diff_Time])</f>
        <v>3.4781737193018245E-3</v>
      </c>
    </row>
    <row r="8" spans="2:9" x14ac:dyDescent="0.35">
      <c r="B8" s="5" t="s">
        <v>841</v>
      </c>
      <c r="C8" s="6">
        <v>157913</v>
      </c>
      <c r="E8" s="5" t="s">
        <v>919</v>
      </c>
      <c r="F8" s="6">
        <v>106624</v>
      </c>
    </row>
    <row r="9" spans="2:9" x14ac:dyDescent="0.35">
      <c r="B9" s="5" t="s">
        <v>839</v>
      </c>
      <c r="C9" s="6">
        <v>135826</v>
      </c>
      <c r="E9" s="5" t="s">
        <v>911</v>
      </c>
      <c r="F9" s="6">
        <v>101556</v>
      </c>
    </row>
    <row r="10" spans="2:9" x14ac:dyDescent="0.35">
      <c r="B10" s="5" t="s">
        <v>795</v>
      </c>
      <c r="C10" s="6">
        <v>737389</v>
      </c>
      <c r="E10" s="5" t="s">
        <v>859</v>
      </c>
      <c r="F10" s="6">
        <v>121905</v>
      </c>
    </row>
    <row r="11" spans="2:9" x14ac:dyDescent="0.35">
      <c r="B11" s="5" t="s">
        <v>843</v>
      </c>
      <c r="C11" s="6">
        <v>136938</v>
      </c>
      <c r="E11" s="5" t="s">
        <v>885</v>
      </c>
      <c r="F11" s="6">
        <v>114476</v>
      </c>
    </row>
    <row r="12" spans="2:9" x14ac:dyDescent="0.35">
      <c r="B12" s="5" t="s">
        <v>845</v>
      </c>
      <c r="C12" s="6">
        <v>151619</v>
      </c>
      <c r="E12" s="5" t="s">
        <v>934</v>
      </c>
      <c r="F12" s="6">
        <v>542226</v>
      </c>
    </row>
    <row r="13" spans="2:9" x14ac:dyDescent="0.35">
      <c r="B13" s="5" t="s">
        <v>822</v>
      </c>
      <c r="C13" s="6">
        <v>449169</v>
      </c>
    </row>
    <row r="14" spans="2:9" x14ac:dyDescent="0.35">
      <c r="B14" s="5" t="s">
        <v>836</v>
      </c>
      <c r="C14" s="6">
        <v>149591</v>
      </c>
    </row>
    <row r="15" spans="2:9" x14ac:dyDescent="0.35">
      <c r="B15" s="5" t="s">
        <v>934</v>
      </c>
      <c r="C15" s="6">
        <v>3520984</v>
      </c>
    </row>
    <row r="16" spans="2:9" x14ac:dyDescent="0.35">
      <c r="E16" s="4" t="s">
        <v>933</v>
      </c>
      <c r="F16" t="s">
        <v>947</v>
      </c>
      <c r="H16" s="4" t="s">
        <v>933</v>
      </c>
      <c r="I16" t="s">
        <v>944</v>
      </c>
    </row>
    <row r="17" spans="2:9" x14ac:dyDescent="0.35">
      <c r="E17" s="5" t="s">
        <v>218</v>
      </c>
      <c r="F17" s="18">
        <v>18</v>
      </c>
      <c r="H17" s="5" t="s">
        <v>699</v>
      </c>
      <c r="I17" s="6">
        <v>586176</v>
      </c>
    </row>
    <row r="18" spans="2:9" x14ac:dyDescent="0.35">
      <c r="B18" s="4" t="s">
        <v>933</v>
      </c>
      <c r="C18" s="6" t="s">
        <v>944</v>
      </c>
      <c r="E18" s="5" t="s">
        <v>152</v>
      </c>
      <c r="F18" s="18">
        <v>21</v>
      </c>
      <c r="H18" s="5" t="s">
        <v>698</v>
      </c>
      <c r="I18" s="6">
        <v>674634</v>
      </c>
    </row>
    <row r="19" spans="2:9" x14ac:dyDescent="0.35">
      <c r="B19" s="5" t="s">
        <v>869</v>
      </c>
      <c r="C19" s="6">
        <v>329862</v>
      </c>
      <c r="E19" s="5" t="s">
        <v>32</v>
      </c>
      <c r="F19" s="18">
        <v>18</v>
      </c>
      <c r="H19" s="5" t="s">
        <v>707</v>
      </c>
      <c r="I19" s="6">
        <v>408194</v>
      </c>
    </row>
    <row r="20" spans="2:9" x14ac:dyDescent="0.35">
      <c r="B20" s="5" t="s">
        <v>864</v>
      </c>
      <c r="C20" s="6">
        <v>1005645</v>
      </c>
      <c r="E20" s="5" t="s">
        <v>324</v>
      </c>
      <c r="F20" s="18">
        <v>28</v>
      </c>
      <c r="H20" s="5" t="s">
        <v>829</v>
      </c>
      <c r="I20" s="6">
        <v>313783</v>
      </c>
    </row>
    <row r="21" spans="2:9" x14ac:dyDescent="0.35">
      <c r="B21" s="5" t="s">
        <v>875</v>
      </c>
      <c r="C21" s="6">
        <v>201151</v>
      </c>
      <c r="E21" s="5" t="s">
        <v>230</v>
      </c>
      <c r="F21" s="18">
        <v>21</v>
      </c>
      <c r="H21" s="5" t="s">
        <v>701</v>
      </c>
      <c r="I21" s="6">
        <v>574682</v>
      </c>
    </row>
    <row r="22" spans="2:9" x14ac:dyDescent="0.35">
      <c r="B22" s="5" t="s">
        <v>862</v>
      </c>
      <c r="C22" s="6">
        <v>212281</v>
      </c>
      <c r="E22" s="5" t="s">
        <v>301</v>
      </c>
      <c r="F22" s="18">
        <v>20</v>
      </c>
      <c r="H22" s="5" t="s">
        <v>794</v>
      </c>
      <c r="I22" s="6">
        <v>631585</v>
      </c>
    </row>
    <row r="23" spans="2:9" x14ac:dyDescent="0.35">
      <c r="B23" s="5" t="s">
        <v>794</v>
      </c>
      <c r="C23" s="6">
        <v>297372</v>
      </c>
      <c r="E23" s="5" t="s">
        <v>188</v>
      </c>
      <c r="F23" s="18">
        <v>24</v>
      </c>
      <c r="H23" s="5" t="s">
        <v>620</v>
      </c>
      <c r="I23" s="6">
        <v>331930</v>
      </c>
    </row>
    <row r="24" spans="2:9" x14ac:dyDescent="0.35">
      <c r="B24" s="5" t="s">
        <v>860</v>
      </c>
      <c r="C24" s="6">
        <v>740831</v>
      </c>
      <c r="E24" s="5" t="s">
        <v>307</v>
      </c>
      <c r="F24" s="18">
        <v>29</v>
      </c>
      <c r="H24" s="5" t="s">
        <v>934</v>
      </c>
      <c r="I24">
        <v>3520984</v>
      </c>
    </row>
    <row r="25" spans="2:9" x14ac:dyDescent="0.35">
      <c r="B25" s="5" t="s">
        <v>866</v>
      </c>
      <c r="C25" s="6">
        <v>733842</v>
      </c>
      <c r="E25" s="5" t="s">
        <v>158</v>
      </c>
      <c r="F25" s="18">
        <v>27</v>
      </c>
    </row>
    <row r="26" spans="2:9" x14ac:dyDescent="0.35">
      <c r="B26" s="5" t="s">
        <v>934</v>
      </c>
      <c r="C26" s="6">
        <v>3520984</v>
      </c>
      <c r="E26" s="5" t="s">
        <v>397</v>
      </c>
      <c r="F26" s="18">
        <v>19</v>
      </c>
    </row>
    <row r="27" spans="2:9" x14ac:dyDescent="0.35">
      <c r="E27" s="5" t="s">
        <v>934</v>
      </c>
      <c r="F27" s="18">
        <v>225</v>
      </c>
    </row>
    <row r="30" spans="2:9" x14ac:dyDescent="0.35">
      <c r="E30" s="4" t="s">
        <v>933</v>
      </c>
      <c r="F30" t="s">
        <v>948</v>
      </c>
    </row>
    <row r="31" spans="2:9" x14ac:dyDescent="0.35">
      <c r="E31" s="5" t="s">
        <v>905</v>
      </c>
      <c r="F31" s="6">
        <v>1977</v>
      </c>
    </row>
    <row r="32" spans="2:9" x14ac:dyDescent="0.35">
      <c r="E32" s="5" t="s">
        <v>928</v>
      </c>
      <c r="F32" s="6">
        <v>2761</v>
      </c>
    </row>
    <row r="33" spans="5:7" x14ac:dyDescent="0.35">
      <c r="E33" s="5" t="s">
        <v>859</v>
      </c>
      <c r="F33" s="6">
        <v>1935</v>
      </c>
    </row>
    <row r="34" spans="5:7" x14ac:dyDescent="0.35">
      <c r="E34" s="5" t="s">
        <v>904</v>
      </c>
      <c r="F34" s="6">
        <v>1923</v>
      </c>
    </row>
    <row r="35" spans="5:7" x14ac:dyDescent="0.35">
      <c r="E35" s="5" t="s">
        <v>885</v>
      </c>
      <c r="F35" s="6">
        <v>2833</v>
      </c>
    </row>
    <row r="36" spans="5:7" x14ac:dyDescent="0.35">
      <c r="E36" s="5" t="s">
        <v>934</v>
      </c>
      <c r="F36" s="6">
        <v>11429</v>
      </c>
    </row>
    <row r="40" spans="5:7" x14ac:dyDescent="0.35">
      <c r="E40" s="9"/>
      <c r="F40" s="10"/>
      <c r="G40" s="11"/>
    </row>
    <row r="41" spans="5:7" x14ac:dyDescent="0.35">
      <c r="E41" s="12"/>
      <c r="F41" s="13"/>
      <c r="G41" s="14"/>
    </row>
    <row r="42" spans="5:7" x14ac:dyDescent="0.35">
      <c r="E42" s="12"/>
      <c r="F42" s="13"/>
      <c r="G42" s="14"/>
    </row>
    <row r="43" spans="5:7" x14ac:dyDescent="0.35">
      <c r="E43" s="12"/>
      <c r="F43" s="13"/>
      <c r="G43" s="14"/>
    </row>
    <row r="44" spans="5:7" x14ac:dyDescent="0.35">
      <c r="E44" s="12"/>
      <c r="F44" s="13"/>
      <c r="G44" s="14"/>
    </row>
    <row r="45" spans="5:7" x14ac:dyDescent="0.35">
      <c r="E45" s="12"/>
      <c r="F45" s="13"/>
      <c r="G45" s="14"/>
    </row>
    <row r="46" spans="5:7" x14ac:dyDescent="0.35">
      <c r="E46" s="12"/>
      <c r="F46" s="13"/>
      <c r="G46" s="14"/>
    </row>
    <row r="47" spans="5:7" x14ac:dyDescent="0.35">
      <c r="E47" s="12"/>
      <c r="F47" s="13"/>
      <c r="G47" s="14"/>
    </row>
    <row r="48" spans="5:7" x14ac:dyDescent="0.35">
      <c r="E48" s="12"/>
      <c r="F48" s="13"/>
      <c r="G48" s="14"/>
    </row>
    <row r="49" spans="5:7" x14ac:dyDescent="0.35">
      <c r="E49" s="12"/>
      <c r="F49" s="13"/>
      <c r="G49" s="14"/>
    </row>
    <row r="50" spans="5:7" x14ac:dyDescent="0.35">
      <c r="E50" s="12"/>
      <c r="F50" s="13"/>
      <c r="G50" s="14"/>
    </row>
    <row r="51" spans="5:7" x14ac:dyDescent="0.35">
      <c r="E51" s="12"/>
      <c r="F51" s="13"/>
      <c r="G51" s="14"/>
    </row>
    <row r="52" spans="5:7" x14ac:dyDescent="0.35">
      <c r="E52" s="12"/>
      <c r="F52" s="13"/>
      <c r="G52" s="14"/>
    </row>
    <row r="53" spans="5:7" x14ac:dyDescent="0.35">
      <c r="E53" s="12"/>
      <c r="F53" s="13"/>
      <c r="G53" s="14"/>
    </row>
    <row r="54" spans="5:7" x14ac:dyDescent="0.35">
      <c r="E54" s="12"/>
      <c r="F54" s="13"/>
      <c r="G54" s="14"/>
    </row>
    <row r="55" spans="5:7" x14ac:dyDescent="0.35">
      <c r="E55" s="12"/>
      <c r="F55" s="13"/>
      <c r="G55" s="14"/>
    </row>
    <row r="56" spans="5:7" x14ac:dyDescent="0.35">
      <c r="E56" s="12"/>
      <c r="F56" s="13"/>
      <c r="G56" s="14"/>
    </row>
    <row r="57" spans="5:7" x14ac:dyDescent="0.35">
      <c r="E57" s="15"/>
      <c r="F57" s="16"/>
      <c r="G57"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0819B-3888-4415-A70E-2D887CBED6D5}">
  <dimension ref="A1"/>
  <sheetViews>
    <sheetView showGridLines="0" tabSelected="1" topLeftCell="F7" zoomScale="74" zoomScaleNormal="74" workbookViewId="0">
      <selection activeCell="AC18" sqref="AC18"/>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6EBEDF8C-7190-41E1-838A-97572ABA7C0D}">
  <ds:schemaRefs/>
</ds:datastoreItem>
</file>

<file path=customXml/itemProps2.xml><?xml version="1.0" encoding="utf-8"?>
<ds:datastoreItem xmlns:ds="http://schemas.openxmlformats.org/officeDocument/2006/customXml" ds:itemID="{B781B44A-63B5-4D4E-9362-D1F6234E7EE6}">
  <ds:schemaRefs/>
</ds:datastoreItem>
</file>

<file path=customXml/itemProps3.xml><?xml version="1.0" encoding="utf-8"?>
<ds:datastoreItem xmlns:ds="http://schemas.openxmlformats.org/officeDocument/2006/customXml" ds:itemID="{18DFC858-CBA6-46CB-8491-11DC16A1FC11}">
  <ds:schemaRefs/>
</ds:datastoreItem>
</file>

<file path=customXml/itemProps4.xml><?xml version="1.0" encoding="utf-8"?>
<ds:datastoreItem xmlns:ds="http://schemas.openxmlformats.org/officeDocument/2006/customXml" ds:itemID="{D6A35BB0-C20F-49A9-8C25-70D20B43F268}">
  <ds:schemaRefs/>
</ds:datastoreItem>
</file>

<file path=customXml/itemProps5.xml><?xml version="1.0" encoding="utf-8"?>
<ds:datastoreItem xmlns:ds="http://schemas.openxmlformats.org/officeDocument/2006/customXml" ds:itemID="{1E1205CA-9FFD-4C4A-B71D-42D2823BC48A}">
  <ds:schemaRefs/>
</ds:datastoreItem>
</file>

<file path=customXml/itemProps6.xml><?xml version="1.0" encoding="utf-8"?>
<ds:datastoreItem xmlns:ds="http://schemas.openxmlformats.org/officeDocument/2006/customXml" ds:itemID="{D3CE65D2-BF4C-4215-8344-0728102D82B7}">
  <ds:schemaRefs/>
</ds:datastoreItem>
</file>

<file path=customXml/itemProps7.xml><?xml version="1.0" encoding="utf-8"?>
<ds:datastoreItem xmlns:ds="http://schemas.openxmlformats.org/officeDocument/2006/customXml" ds:itemID="{97B2D8B0-B516-4BE5-981E-E06CDA3598F2}">
  <ds:schemaRefs/>
</ds:datastoreItem>
</file>

<file path=customXml/itemProps8.xml><?xml version="1.0" encoding="utf-8"?>
<ds:datastoreItem xmlns:ds="http://schemas.openxmlformats.org/officeDocument/2006/customXml" ds:itemID="{9FB0E03A-B90C-45C2-9294-73E5E81A656D}">
  <ds:schemaRefs/>
</ds:datastoreItem>
</file>

<file path=customXml/itemProps9.xml><?xml version="1.0" encoding="utf-8"?>
<ds:datastoreItem xmlns:ds="http://schemas.openxmlformats.org/officeDocument/2006/customXml" ds:itemID="{4A4775BD-48B3-4576-8F86-FBA1F274D88B}">
  <ds:schemaRefs>
    <ds:schemaRef ds:uri="http://schemas.microsoft.com/DataMashup"/>
  </ds:schemaRefs>
</ds:datastoreItem>
</file>

<file path=customXml/itemProps10.xml><?xml version="1.0" encoding="utf-8"?>
<ds:datastoreItem xmlns:ds="http://schemas.openxmlformats.org/officeDocument/2006/customXml" ds:itemID="{FF6F1636-D984-45D9-97EB-F2496C1446A0}">
  <ds:schemaRefs/>
</ds:datastoreItem>
</file>

<file path=customXml/itemProps11.xml><?xml version="1.0" encoding="utf-8"?>
<ds:datastoreItem xmlns:ds="http://schemas.openxmlformats.org/officeDocument/2006/customXml" ds:itemID="{8A00DF5A-BA11-439B-BB62-E05AECE3F471}">
  <ds:schemaRefs/>
</ds:datastoreItem>
</file>

<file path=customXml/itemProps12.xml><?xml version="1.0" encoding="utf-8"?>
<ds:datastoreItem xmlns:ds="http://schemas.openxmlformats.org/officeDocument/2006/customXml" ds:itemID="{8DB471BA-91AB-435E-A852-626311D2B496}">
  <ds:schemaRefs/>
</ds:datastoreItem>
</file>

<file path=customXml/itemProps13.xml><?xml version="1.0" encoding="utf-8"?>
<ds:datastoreItem xmlns:ds="http://schemas.openxmlformats.org/officeDocument/2006/customXml" ds:itemID="{480C2B9B-98F8-4B58-AE00-691A579380D5}">
  <ds:schemaRefs/>
</ds:datastoreItem>
</file>

<file path=customXml/itemProps14.xml><?xml version="1.0" encoding="utf-8"?>
<ds:datastoreItem xmlns:ds="http://schemas.openxmlformats.org/officeDocument/2006/customXml" ds:itemID="{4A5760EC-420C-44A4-BD12-850995DD23C3}">
  <ds:schemaRefs/>
</ds:datastoreItem>
</file>

<file path=customXml/itemProps15.xml><?xml version="1.0" encoding="utf-8"?>
<ds:datastoreItem xmlns:ds="http://schemas.openxmlformats.org/officeDocument/2006/customXml" ds:itemID="{7DA28DC0-2A05-4621-8BBE-8991E4DFD3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vt:lpstr>
      <vt:lpstr>Customers</vt:lpstr>
      <vt:lpstr>Orders</vt:lpstr>
      <vt:lpstr>Products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2026-05-29T13:55:25Z</dcterms:created>
  <dcterms:modified xsi:type="dcterms:W3CDTF">2026-05-31T10:54:04Z</dcterms:modified>
</cp:coreProperties>
</file>